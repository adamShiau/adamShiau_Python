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h3zz1DcqZyCjj3fb81wTDVNYi2bUc4sC\蕭博文\"/>
    </mc:Choice>
  </mc:AlternateContent>
  <xr:revisionPtr revIDLastSave="0" documentId="13_ncr:1_{F4E0FDBF-A158-421E-A331-70435E2A0CA8}" xr6:coauthVersionLast="47" xr6:coauthVersionMax="47" xr10:uidLastSave="{00000000-0000-0000-0000-000000000000}"/>
  <bookViews>
    <workbookView xWindow="2070" yWindow="2325" windowWidth="21600" windowHeight="11295" xr2:uid="{00000000-000D-0000-FFFF-FFFF00000000}"/>
  </bookViews>
  <sheets>
    <sheet name="MAIN" sheetId="1" r:id="rId1"/>
    <sheet name="PURCHASE" sheetId="2" r:id="rId2"/>
    <sheet name="DEFINE" sheetId="3" r:id="rId3"/>
    <sheet name="BOM" sheetId="4" r:id="rId4"/>
    <sheet name="CONSUME" sheetId="5" r:id="rId5"/>
  </sheets>
  <definedNames>
    <definedName name="_xlnm._FilterDatabase" localSheetId="3" hidden="1">BOM!$B$1:$G$108</definedName>
    <definedName name="_xlnm._FilterDatabase" localSheetId="4" hidden="1">CONSUME!$A$1:$F$214</definedName>
    <definedName name="_xlnm._FilterDatabase" localSheetId="0" hidden="1">MAIN!$A$1:$O$271</definedName>
    <definedName name="_xlnm._FilterDatabase" localSheetId="1" hidden="1">PURCHASE!$A$1:$F$327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3" i="5" l="1"/>
  <c r="B264" i="5"/>
  <c r="B265" i="5"/>
  <c r="B266" i="5"/>
  <c r="B267" i="5"/>
  <c r="G23" i="1"/>
  <c r="B258" i="5"/>
  <c r="B259" i="5"/>
  <c r="B260" i="5"/>
  <c r="B261" i="5"/>
  <c r="B262" i="5"/>
  <c r="D271" i="1"/>
  <c r="C271" i="1" a="1"/>
  <c r="C271" i="1" s="1"/>
  <c r="B271" i="1"/>
  <c r="B250" i="5"/>
  <c r="B251" i="5"/>
  <c r="B252" i="5"/>
  <c r="B253" i="5"/>
  <c r="B254" i="5"/>
  <c r="B255" i="5"/>
  <c r="B256" i="5"/>
  <c r="B257" i="5"/>
  <c r="B246" i="5"/>
  <c r="B244" i="5"/>
  <c r="B245" i="5"/>
  <c r="B247" i="5"/>
  <c r="B248" i="5"/>
  <c r="B249" i="5"/>
  <c r="B265" i="1"/>
  <c r="B239" i="5"/>
  <c r="B240" i="5"/>
  <c r="B241" i="5"/>
  <c r="B242" i="5"/>
  <c r="B243" i="5"/>
  <c r="B236" i="5"/>
  <c r="B237" i="5"/>
  <c r="B238" i="5"/>
  <c r="B232" i="5"/>
  <c r="B233" i="5"/>
  <c r="B234" i="5"/>
  <c r="B235" i="5"/>
  <c r="B228" i="5"/>
  <c r="B229" i="5"/>
  <c r="B230" i="5"/>
  <c r="B231" i="5"/>
  <c r="B224" i="5"/>
  <c r="B225" i="5"/>
  <c r="B226" i="5"/>
  <c r="B227" i="5"/>
  <c r="B219" i="5"/>
  <c r="B220" i="5"/>
  <c r="B221" i="5"/>
  <c r="B222" i="5"/>
  <c r="B223" i="5"/>
  <c r="B215" i="5"/>
  <c r="B216" i="5"/>
  <c r="B217" i="5"/>
  <c r="B218" i="5"/>
  <c r="D270" i="1" l="1"/>
  <c r="D269" i="1"/>
  <c r="D268" i="1"/>
  <c r="D267" i="1"/>
  <c r="D266" i="1"/>
  <c r="D254" i="1"/>
  <c r="F23" i="1"/>
  <c r="B209" i="5"/>
  <c r="B210" i="5"/>
  <c r="B211" i="5"/>
  <c r="B212" i="5"/>
  <c r="B213" i="5"/>
  <c r="B214" i="5"/>
  <c r="B206" i="5"/>
  <c r="B207" i="5"/>
  <c r="B208" i="5"/>
  <c r="B201" i="5"/>
  <c r="B202" i="5"/>
  <c r="B203" i="5"/>
  <c r="B204" i="5"/>
  <c r="B205" i="5"/>
  <c r="B196" i="5"/>
  <c r="B197" i="5"/>
  <c r="B198" i="5"/>
  <c r="B199" i="5"/>
  <c r="B200" i="5"/>
  <c r="E227" i="1"/>
  <c r="B195" i="5"/>
  <c r="B194" i="5"/>
  <c r="B193" i="5"/>
  <c r="B192" i="5"/>
  <c r="E123" i="1"/>
  <c r="F264" i="1"/>
  <c r="E264" i="1"/>
  <c r="B264" i="1"/>
  <c r="E2" i="1"/>
  <c r="E254" i="1" l="1"/>
  <c r="E18" i="1"/>
  <c r="B191" i="5" l="1"/>
  <c r="F263" i="1"/>
  <c r="E263" i="1"/>
  <c r="B263" i="1"/>
  <c r="E58" i="1"/>
  <c r="E262" i="1"/>
  <c r="B262" i="1"/>
  <c r="D262" i="1"/>
  <c r="E250" i="1" l="1"/>
  <c r="E124" i="1"/>
  <c r="E156" i="1"/>
  <c r="E62" i="1"/>
  <c r="E261" i="1"/>
  <c r="E260" i="1"/>
  <c r="E259" i="1"/>
  <c r="E258" i="1"/>
  <c r="E256" i="1"/>
  <c r="B257" i="1"/>
  <c r="D257" i="1"/>
  <c r="E257" i="1"/>
  <c r="B258" i="1"/>
  <c r="D258" i="1"/>
  <c r="B259" i="1"/>
  <c r="D259" i="1"/>
  <c r="B260" i="1"/>
  <c r="D260" i="1"/>
  <c r="B261" i="1"/>
  <c r="D261" i="1"/>
  <c r="B256" i="1"/>
  <c r="D256" i="1"/>
  <c r="E255" i="1"/>
  <c r="D255" i="1"/>
  <c r="B255" i="1"/>
  <c r="F20" i="1"/>
  <c r="F18" i="1"/>
  <c r="F61" i="1"/>
  <c r="F62" i="1"/>
  <c r="F254" i="1"/>
  <c r="B254" i="1"/>
  <c r="F253" i="1"/>
  <c r="E253" i="1"/>
  <c r="B253" i="1"/>
  <c r="D253" i="1"/>
  <c r="F252" i="1"/>
  <c r="E252" i="1"/>
  <c r="D252" i="1"/>
  <c r="B252" i="1"/>
  <c r="F251" i="1"/>
  <c r="E251" i="1"/>
  <c r="B251" i="1"/>
  <c r="D251" i="1"/>
  <c r="F250" i="1"/>
  <c r="F225" i="1"/>
  <c r="D250" i="1"/>
  <c r="B250" i="1"/>
  <c r="F249" i="1"/>
  <c r="E249" i="1"/>
  <c r="D249" i="1"/>
  <c r="B249" i="1"/>
  <c r="E248" i="1"/>
  <c r="B248" i="1"/>
  <c r="D248" i="1"/>
  <c r="E247" i="1"/>
  <c r="E246" i="1"/>
  <c r="E245" i="1"/>
  <c r="B245" i="1"/>
  <c r="D245" i="1"/>
  <c r="B246" i="1"/>
  <c r="D246" i="1"/>
  <c r="B247" i="1"/>
  <c r="D247" i="1"/>
  <c r="E244" i="1"/>
  <c r="E243" i="1"/>
  <c r="E242" i="1"/>
  <c r="E241" i="1"/>
  <c r="F241" i="1"/>
  <c r="E240" i="1"/>
  <c r="D244" i="1"/>
  <c r="B244" i="1"/>
  <c r="D243" i="1"/>
  <c r="B243" i="1"/>
  <c r="D242" i="1"/>
  <c r="B242" i="1"/>
  <c r="D241" i="1"/>
  <c r="B241" i="1"/>
  <c r="D240" i="1"/>
  <c r="B240" i="1"/>
  <c r="E239" i="1"/>
  <c r="D239" i="1"/>
  <c r="B239" i="1"/>
  <c r="F238" i="1"/>
  <c r="E238" i="1"/>
  <c r="F237" i="1"/>
  <c r="E237" i="1"/>
  <c r="F235" i="1"/>
  <c r="E235" i="1"/>
  <c r="F236" i="1"/>
  <c r="E236" i="1"/>
  <c r="B235" i="1"/>
  <c r="D235" i="1"/>
  <c r="B236" i="1"/>
  <c r="D236" i="1"/>
  <c r="B237" i="1"/>
  <c r="D237" i="1"/>
  <c r="B238" i="1"/>
  <c r="D238" i="1"/>
  <c r="F234" i="1"/>
  <c r="E234" i="1"/>
  <c r="F233" i="1"/>
  <c r="E233" i="1"/>
  <c r="F232" i="1"/>
  <c r="E232" i="1"/>
  <c r="F230" i="1"/>
  <c r="E230" i="1"/>
  <c r="F231" i="1"/>
  <c r="E231" i="1"/>
  <c r="D230" i="1"/>
  <c r="D231" i="1"/>
  <c r="D232" i="1"/>
  <c r="D233" i="1"/>
  <c r="D234" i="1"/>
  <c r="B230" i="1"/>
  <c r="B231" i="1"/>
  <c r="B232" i="1"/>
  <c r="B233" i="1"/>
  <c r="B234" i="1"/>
  <c r="F229" i="1"/>
  <c r="E229" i="1"/>
  <c r="F228" i="1"/>
  <c r="E228" i="1"/>
  <c r="F227" i="1"/>
  <c r="D228" i="1"/>
  <c r="B228" i="1"/>
  <c r="D227" i="1"/>
  <c r="B227" i="1"/>
  <c r="F226" i="1"/>
  <c r="E226" i="1"/>
  <c r="D226" i="1"/>
  <c r="B226" i="1"/>
  <c r="E225" i="1"/>
  <c r="F224" i="1"/>
  <c r="E224" i="1"/>
  <c r="D224" i="1"/>
  <c r="D225" i="1"/>
  <c r="D229" i="1"/>
  <c r="B224" i="1"/>
  <c r="B225" i="1"/>
  <c r="B229" i="1"/>
  <c r="E83" i="1"/>
  <c r="B186" i="5"/>
  <c r="B187" i="5"/>
  <c r="B188" i="5"/>
  <c r="B189" i="5"/>
  <c r="B190" i="5"/>
  <c r="B185" i="5"/>
  <c r="E223" i="1"/>
  <c r="B223" i="1"/>
  <c r="D223" i="1"/>
  <c r="E222" i="1"/>
  <c r="D222" i="1"/>
  <c r="B222" i="1"/>
  <c r="E221" i="1"/>
  <c r="D221" i="1"/>
  <c r="B221" i="1"/>
  <c r="E220" i="1"/>
  <c r="E219" i="1"/>
  <c r="E218" i="1"/>
  <c r="D220" i="1"/>
  <c r="B220" i="1"/>
  <c r="D219" i="1"/>
  <c r="B219" i="1"/>
  <c r="D218" i="1"/>
  <c r="B218" i="1"/>
  <c r="E217" i="1"/>
  <c r="E216" i="1"/>
  <c r="E215" i="1"/>
  <c r="E214" i="1"/>
  <c r="D217" i="1"/>
  <c r="D216" i="1"/>
  <c r="D215" i="1"/>
  <c r="D214" i="1"/>
  <c r="B217" i="1"/>
  <c r="B216" i="1"/>
  <c r="B215" i="1"/>
  <c r="B214" i="1"/>
  <c r="E213" i="1"/>
  <c r="F213" i="1"/>
  <c r="B213" i="1"/>
  <c r="F207" i="1"/>
  <c r="E171" i="1"/>
  <c r="E78" i="1"/>
  <c r="E54" i="1"/>
  <c r="E132" i="1"/>
  <c r="E61" i="1"/>
  <c r="E212" i="1"/>
  <c r="F212" i="1"/>
  <c r="D212" i="1"/>
  <c r="D211" i="1"/>
  <c r="B212" i="1"/>
  <c r="B184" i="5" s="1"/>
  <c r="B211" i="1"/>
  <c r="B183" i="5" s="1"/>
  <c r="F211" i="1"/>
  <c r="E211" i="1"/>
  <c r="F208" i="1"/>
  <c r="E208" i="1"/>
  <c r="F209" i="1"/>
  <c r="E209" i="1"/>
  <c r="D209" i="1"/>
  <c r="B209" i="1"/>
  <c r="F162" i="1"/>
  <c r="D210" i="1"/>
  <c r="B210" i="1"/>
  <c r="D208" i="1"/>
  <c r="B208" i="1"/>
  <c r="E207" i="1"/>
  <c r="D207" i="1"/>
  <c r="B207" i="1"/>
  <c r="E206" i="1"/>
  <c r="F206" i="1"/>
  <c r="D206" i="1"/>
  <c r="B206" i="1"/>
  <c r="B180" i="5" s="1"/>
  <c r="G83" i="1"/>
  <c r="F205" i="1"/>
  <c r="E205" i="1"/>
  <c r="D205" i="1"/>
  <c r="C205" i="1" a="1"/>
  <c r="C205" i="1" s="1"/>
  <c r="B205" i="1"/>
  <c r="F204" i="1"/>
  <c r="E204" i="1"/>
  <c r="D204" i="1"/>
  <c r="B204" i="1"/>
  <c r="F203" i="1"/>
  <c r="E203" i="1"/>
  <c r="B203" i="1"/>
  <c r="D203" i="1"/>
  <c r="E202" i="1"/>
  <c r="F202" i="1"/>
  <c r="D202" i="1"/>
  <c r="B202" i="1"/>
  <c r="F201" i="1"/>
  <c r="E201" i="1"/>
  <c r="D201" i="1"/>
  <c r="B201" i="1"/>
  <c r="B1048549" i="1"/>
  <c r="F200" i="1"/>
  <c r="E200" i="1"/>
  <c r="D200" i="1"/>
  <c r="B200" i="1"/>
  <c r="F199" i="1"/>
  <c r="E199" i="1"/>
  <c r="D199" i="1"/>
  <c r="B199" i="1"/>
  <c r="F198" i="1"/>
  <c r="E198" i="1"/>
  <c r="F197" i="1"/>
  <c r="E197" i="1"/>
  <c r="F196" i="1"/>
  <c r="E196" i="1"/>
  <c r="F195" i="1"/>
  <c r="E195" i="1"/>
  <c r="F194" i="1"/>
  <c r="E194" i="1"/>
  <c r="F193" i="1"/>
  <c r="E193" i="1"/>
  <c r="E192" i="1"/>
  <c r="F192" i="1"/>
  <c r="B194" i="1"/>
  <c r="D194" i="1"/>
  <c r="B195" i="1"/>
  <c r="D195" i="1"/>
  <c r="B196" i="1"/>
  <c r="D196" i="1"/>
  <c r="B197" i="1"/>
  <c r="D197" i="1"/>
  <c r="B198" i="1"/>
  <c r="D198" i="1"/>
  <c r="D193" i="1"/>
  <c r="B193" i="1"/>
  <c r="F191" i="1"/>
  <c r="E191" i="1"/>
  <c r="E190" i="1"/>
  <c r="F190" i="1"/>
  <c r="D192" i="1"/>
  <c r="B192" i="1"/>
  <c r="D191" i="1"/>
  <c r="B191" i="1"/>
  <c r="D190" i="1"/>
  <c r="B190" i="1"/>
  <c r="F189" i="1"/>
  <c r="E189" i="1"/>
  <c r="D189" i="1"/>
  <c r="B189" i="1"/>
  <c r="F188" i="1"/>
  <c r="E188" i="1"/>
  <c r="F187" i="1"/>
  <c r="E187" i="1"/>
  <c r="F186" i="1"/>
  <c r="E186" i="1"/>
  <c r="B183" i="1"/>
  <c r="B184" i="1"/>
  <c r="B185" i="1"/>
  <c r="B186" i="1"/>
  <c r="B187" i="1"/>
  <c r="B188" i="1"/>
  <c r="F185" i="1"/>
  <c r="E185" i="1"/>
  <c r="D182" i="1"/>
  <c r="D183" i="1"/>
  <c r="D184" i="1"/>
  <c r="D185" i="1"/>
  <c r="D186" i="1"/>
  <c r="D187" i="1"/>
  <c r="D188" i="1"/>
  <c r="E136" i="1"/>
  <c r="D4" i="1"/>
  <c r="H3" i="2"/>
  <c r="F182" i="1"/>
  <c r="E182" i="1"/>
  <c r="B182" i="1"/>
  <c r="F181" i="1"/>
  <c r="E181" i="1"/>
  <c r="F180" i="1"/>
  <c r="E180" i="1"/>
  <c r="D181" i="1"/>
  <c r="B181" i="1"/>
  <c r="D180" i="1"/>
  <c r="B180" i="1"/>
  <c r="E179" i="1"/>
  <c r="D179" i="1"/>
  <c r="B179" i="1"/>
  <c r="E178" i="1"/>
  <c r="B178" i="1"/>
  <c r="D178" i="1"/>
  <c r="F177" i="1"/>
  <c r="E177" i="1"/>
  <c r="B177" i="1"/>
  <c r="D177" i="1"/>
  <c r="F176" i="1"/>
  <c r="E176" i="1"/>
  <c r="D176" i="1"/>
  <c r="B176" i="1"/>
  <c r="B80" i="5" s="1"/>
  <c r="E118" i="1"/>
  <c r="E170" i="1"/>
  <c r="E104" i="1"/>
  <c r="F175" i="1"/>
  <c r="E175" i="1"/>
  <c r="D175" i="1"/>
  <c r="B175" i="1"/>
  <c r="B84" i="5" s="1"/>
  <c r="F174" i="1"/>
  <c r="E174" i="1"/>
  <c r="D174" i="1"/>
  <c r="B174" i="1"/>
  <c r="B101" i="5" s="1"/>
  <c r="F173" i="1"/>
  <c r="E173" i="1"/>
  <c r="D173" i="1"/>
  <c r="B173" i="1"/>
  <c r="F172" i="1"/>
  <c r="E172" i="1"/>
  <c r="D172" i="1"/>
  <c r="B172" i="1"/>
  <c r="B89" i="5" s="1"/>
  <c r="D171" i="1"/>
  <c r="F171" i="1"/>
  <c r="B171" i="1"/>
  <c r="B86" i="5" s="1"/>
  <c r="F170" i="1"/>
  <c r="D170" i="1"/>
  <c r="B170" i="1"/>
  <c r="F169" i="1"/>
  <c r="E169" i="1"/>
  <c r="D169" i="1"/>
  <c r="B169" i="1"/>
  <c r="F168" i="1"/>
  <c r="E168" i="1"/>
  <c r="D168" i="1"/>
  <c r="B168" i="1"/>
  <c r="B85" i="5" s="1"/>
  <c r="E158" i="1"/>
  <c r="E161" i="1"/>
  <c r="E167" i="1"/>
  <c r="E166" i="1"/>
  <c r="F167" i="1"/>
  <c r="F166" i="1"/>
  <c r="F165" i="1"/>
  <c r="E165" i="1"/>
  <c r="B165" i="1"/>
  <c r="D165" i="1"/>
  <c r="B166" i="1"/>
  <c r="D166" i="1"/>
  <c r="B167" i="1"/>
  <c r="D167" i="1"/>
  <c r="E159" i="1"/>
  <c r="F163" i="1"/>
  <c r="E163" i="1"/>
  <c r="D163" i="1"/>
  <c r="B163" i="1"/>
  <c r="F164" i="1"/>
  <c r="E164" i="1"/>
  <c r="D164" i="1"/>
  <c r="B164" i="1"/>
  <c r="B88" i="5" s="1"/>
  <c r="E162" i="1"/>
  <c r="D162" i="1"/>
  <c r="B162" i="1"/>
  <c r="F161" i="1"/>
  <c r="D161" i="1"/>
  <c r="B161" i="1"/>
  <c r="E160" i="1"/>
  <c r="G160" i="1"/>
  <c r="F160" i="1"/>
  <c r="D160" i="1"/>
  <c r="B160" i="1"/>
  <c r="B75" i="5" s="1"/>
  <c r="F159" i="1"/>
  <c r="D159" i="1"/>
  <c r="B159" i="1"/>
  <c r="B76" i="5" s="1"/>
  <c r="F158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3" i="1"/>
  <c r="B158" i="1"/>
  <c r="F157" i="1"/>
  <c r="E157" i="1"/>
  <c r="B157" i="1"/>
  <c r="F156" i="1"/>
  <c r="B156" i="1"/>
  <c r="B87" i="5" s="1"/>
  <c r="E154" i="1"/>
  <c r="F155" i="1"/>
  <c r="E155" i="1"/>
  <c r="B155" i="1"/>
  <c r="F154" i="1"/>
  <c r="B154" i="1"/>
  <c r="F131" i="1"/>
  <c r="E131" i="1"/>
  <c r="F153" i="1"/>
  <c r="F126" i="1"/>
  <c r="F125" i="1"/>
  <c r="F124" i="1"/>
  <c r="F123" i="1"/>
  <c r="E153" i="1"/>
  <c r="B153" i="1"/>
  <c r="B79" i="5" s="1"/>
  <c r="F152" i="1"/>
  <c r="E152" i="1"/>
  <c r="B152" i="1"/>
  <c r="F151" i="1"/>
  <c r="E151" i="1"/>
  <c r="B151" i="1"/>
  <c r="E150" i="1"/>
  <c r="F150" i="1"/>
  <c r="E149" i="1"/>
  <c r="E148" i="1"/>
  <c r="F149" i="1"/>
  <c r="F148" i="1"/>
  <c r="B150" i="1"/>
  <c r="B149" i="1"/>
  <c r="B148" i="1"/>
  <c r="F147" i="1"/>
  <c r="E147" i="1"/>
  <c r="B147" i="1"/>
  <c r="F146" i="1"/>
  <c r="E146" i="1"/>
  <c r="F145" i="1"/>
  <c r="E145" i="1"/>
  <c r="E144" i="1"/>
  <c r="F144" i="1"/>
  <c r="B144" i="1"/>
  <c r="B145" i="1"/>
  <c r="B146" i="1"/>
  <c r="E143" i="1"/>
  <c r="F143" i="1"/>
  <c r="B143" i="1"/>
  <c r="B141" i="1"/>
  <c r="B142" i="1"/>
  <c r="F141" i="1"/>
  <c r="E141" i="1"/>
  <c r="F142" i="1"/>
  <c r="E142" i="1"/>
  <c r="F140" i="1"/>
  <c r="E140" i="1"/>
  <c r="B140" i="1"/>
  <c r="F103" i="1"/>
  <c r="E103" i="1"/>
  <c r="F139" i="1"/>
  <c r="F138" i="1"/>
  <c r="F137" i="1"/>
  <c r="E139" i="1"/>
  <c r="E138" i="1"/>
  <c r="E137" i="1"/>
  <c r="B139" i="1"/>
  <c r="B138" i="1"/>
  <c r="B137" i="1"/>
  <c r="F136" i="1"/>
  <c r="B136" i="1"/>
  <c r="F135" i="1"/>
  <c r="E135" i="1"/>
  <c r="B135" i="1"/>
  <c r="F134" i="1"/>
  <c r="E134" i="1"/>
  <c r="F133" i="1"/>
  <c r="E133" i="1"/>
  <c r="F132" i="1"/>
  <c r="B134" i="1"/>
  <c r="B133" i="1"/>
  <c r="B73" i="5" s="1"/>
  <c r="B132" i="1"/>
  <c r="B72" i="5" s="1"/>
  <c r="B131" i="1"/>
  <c r="B107" i="5" s="1"/>
  <c r="E130" i="1"/>
  <c r="E129" i="1"/>
  <c r="E128" i="1"/>
  <c r="F130" i="1"/>
  <c r="F129" i="1"/>
  <c r="F128" i="1"/>
  <c r="F127" i="1"/>
  <c r="E127" i="1"/>
  <c r="B127" i="1"/>
  <c r="B159" i="5" s="1"/>
  <c r="B128" i="1"/>
  <c r="B129" i="1"/>
  <c r="B130" i="1"/>
  <c r="F118" i="1"/>
  <c r="E126" i="1"/>
  <c r="E125" i="1"/>
  <c r="B126" i="1"/>
  <c r="B125" i="1"/>
  <c r="B124" i="1"/>
  <c r="B83" i="5" s="1"/>
  <c r="B123" i="1"/>
  <c r="E122" i="1"/>
  <c r="F122" i="1"/>
  <c r="B122" i="1"/>
  <c r="F121" i="1"/>
  <c r="E121" i="1"/>
  <c r="B121" i="1"/>
  <c r="E120" i="1"/>
  <c r="F120" i="1"/>
  <c r="E119" i="1"/>
  <c r="F119" i="1"/>
  <c r="B120" i="1"/>
  <c r="B119" i="1"/>
  <c r="B118" i="1"/>
  <c r="B144" i="5" s="1"/>
  <c r="F117" i="1"/>
  <c r="E117" i="1"/>
  <c r="B117" i="1"/>
  <c r="E116" i="1"/>
  <c r="F116" i="1"/>
  <c r="E115" i="1"/>
  <c r="F114" i="1"/>
  <c r="E114" i="1"/>
  <c r="F115" i="1"/>
  <c r="B116" i="1"/>
  <c r="B115" i="1"/>
  <c r="B114" i="1"/>
  <c r="F113" i="1"/>
  <c r="E113" i="1"/>
  <c r="B113" i="1"/>
  <c r="F112" i="1"/>
  <c r="E112" i="1"/>
  <c r="B112" i="1"/>
  <c r="F22" i="1"/>
  <c r="F111" i="1"/>
  <c r="E111" i="1"/>
  <c r="B111" i="1"/>
  <c r="B71" i="5" s="1"/>
  <c r="D2" i="1"/>
  <c r="B110" i="1"/>
  <c r="B105" i="5" s="1"/>
  <c r="F109" i="1"/>
  <c r="E109" i="1"/>
  <c r="F108" i="1"/>
  <c r="E108" i="1"/>
  <c r="B108" i="1"/>
  <c r="B102" i="5" s="1"/>
  <c r="B109" i="1"/>
  <c r="F107" i="1"/>
  <c r="E107" i="1"/>
  <c r="F106" i="1"/>
  <c r="E106" i="1"/>
  <c r="F104" i="1"/>
  <c r="B107" i="1"/>
  <c r="B106" i="1"/>
  <c r="B105" i="1"/>
  <c r="F102" i="1"/>
  <c r="E102" i="1"/>
  <c r="F101" i="1"/>
  <c r="E101" i="1"/>
  <c r="F100" i="1"/>
  <c r="E100" i="1"/>
  <c r="B101" i="1"/>
  <c r="B67" i="5" s="1"/>
  <c r="B102" i="1"/>
  <c r="B70" i="5" s="1"/>
  <c r="B103" i="1"/>
  <c r="B104" i="1"/>
  <c r="B82" i="5" s="1"/>
  <c r="E99" i="1"/>
  <c r="F99" i="1"/>
  <c r="F98" i="1"/>
  <c r="E98" i="1"/>
  <c r="E97" i="1"/>
  <c r="F97" i="1"/>
  <c r="E96" i="1"/>
  <c r="F96" i="1"/>
  <c r="F95" i="1"/>
  <c r="E95" i="1"/>
  <c r="B96" i="1"/>
  <c r="B97" i="1"/>
  <c r="B96" i="5" s="1"/>
  <c r="B98" i="1"/>
  <c r="B99" i="1"/>
  <c r="B95" i="5" s="1"/>
  <c r="B100" i="1"/>
  <c r="F94" i="1"/>
  <c r="E94" i="1"/>
  <c r="F85" i="1"/>
  <c r="E85" i="1"/>
  <c r="F86" i="1"/>
  <c r="E86" i="1"/>
  <c r="F93" i="1"/>
  <c r="E93" i="1"/>
  <c r="F92" i="1"/>
  <c r="E92" i="1"/>
  <c r="E91" i="1"/>
  <c r="F91" i="1"/>
  <c r="B91" i="1"/>
  <c r="F90" i="1"/>
  <c r="E90" i="1"/>
  <c r="E89" i="1"/>
  <c r="F89" i="1"/>
  <c r="B90" i="1"/>
  <c r="B92" i="1"/>
  <c r="B93" i="1"/>
  <c r="B94" i="1"/>
  <c r="B95" i="1"/>
  <c r="E88" i="1"/>
  <c r="F88" i="1"/>
  <c r="F87" i="1"/>
  <c r="E87" i="1"/>
  <c r="E84" i="1"/>
  <c r="F84" i="1"/>
  <c r="F83" i="1"/>
  <c r="F82" i="1"/>
  <c r="E82" i="1"/>
  <c r="F81" i="1"/>
  <c r="E81" i="1"/>
  <c r="B82" i="1"/>
  <c r="B81" i="5" s="1"/>
  <c r="B83" i="1"/>
  <c r="B106" i="5" s="1"/>
  <c r="B84" i="1"/>
  <c r="B85" i="1"/>
  <c r="B86" i="1"/>
  <c r="B87" i="1"/>
  <c r="B88" i="1"/>
  <c r="B89" i="1"/>
  <c r="F80" i="1"/>
  <c r="E80" i="1"/>
  <c r="F79" i="1"/>
  <c r="E79" i="1"/>
  <c r="F78" i="1"/>
  <c r="B78" i="1"/>
  <c r="F77" i="1"/>
  <c r="E77" i="1"/>
  <c r="F76" i="1"/>
  <c r="E76" i="1"/>
  <c r="F75" i="1"/>
  <c r="E75" i="1"/>
  <c r="F74" i="1"/>
  <c r="E74" i="1"/>
  <c r="B75" i="1"/>
  <c r="B66" i="5" s="1"/>
  <c r="B76" i="1"/>
  <c r="B77" i="1"/>
  <c r="B79" i="1"/>
  <c r="B80" i="1"/>
  <c r="B81" i="1"/>
  <c r="F73" i="1"/>
  <c r="E73" i="1"/>
  <c r="F72" i="1"/>
  <c r="E72" i="1"/>
  <c r="F71" i="1"/>
  <c r="E71" i="1"/>
  <c r="F70" i="1"/>
  <c r="E70" i="1"/>
  <c r="B74" i="1"/>
  <c r="B104" i="5" s="1"/>
  <c r="B73" i="1"/>
  <c r="B72" i="1"/>
  <c r="B71" i="1"/>
  <c r="B70" i="1"/>
  <c r="E68" i="1"/>
  <c r="B85" i="2"/>
  <c r="B84" i="2"/>
  <c r="B83" i="2"/>
  <c r="B82" i="2"/>
  <c r="B81" i="2"/>
  <c r="B80" i="2"/>
  <c r="B77" i="2"/>
  <c r="B76" i="2"/>
  <c r="E22" i="1"/>
  <c r="B74" i="2"/>
  <c r="E66" i="1"/>
  <c r="F66" i="1"/>
  <c r="B66" i="1"/>
  <c r="E65" i="1"/>
  <c r="F65" i="1"/>
  <c r="B65" i="1"/>
  <c r="E64" i="1"/>
  <c r="F64" i="1"/>
  <c r="B64" i="1"/>
  <c r="F50" i="1"/>
  <c r="E50" i="1"/>
  <c r="F16" i="1"/>
  <c r="B50" i="1"/>
  <c r="E16" i="1"/>
  <c r="B16" i="1"/>
  <c r="F29" i="1"/>
  <c r="E29" i="1"/>
  <c r="F63" i="1"/>
  <c r="E63" i="1"/>
  <c r="B63" i="1"/>
  <c r="B29" i="1"/>
  <c r="B94" i="5" s="1"/>
  <c r="G61" i="1"/>
  <c r="G62" i="1"/>
  <c r="B181" i="5" l="1"/>
  <c r="B168" i="5"/>
  <c r="B153" i="5"/>
  <c r="B167" i="5"/>
  <c r="B152" i="5"/>
  <c r="B165" i="5"/>
  <c r="B171" i="5"/>
  <c r="B155" i="5"/>
  <c r="B151" i="5"/>
  <c r="B164" i="5"/>
  <c r="B150" i="5"/>
  <c r="B163" i="5"/>
  <c r="B175" i="5"/>
  <c r="B149" i="5"/>
  <c r="B162" i="5"/>
  <c r="B174" i="5"/>
  <c r="B148" i="5"/>
  <c r="B161" i="5"/>
  <c r="B147" i="5"/>
  <c r="B160" i="5"/>
  <c r="B172" i="5"/>
  <c r="B157" i="5"/>
  <c r="B143" i="5"/>
  <c r="B140" i="5"/>
  <c r="B139" i="5"/>
  <c r="B131" i="5"/>
  <c r="B121" i="5"/>
  <c r="B117" i="5"/>
  <c r="B111" i="5"/>
  <c r="B100" i="5"/>
  <c r="B98" i="5"/>
  <c r="B99" i="5"/>
  <c r="B97" i="5"/>
  <c r="B60" i="5"/>
  <c r="G60" i="1"/>
  <c r="F60" i="1"/>
  <c r="E60" i="1"/>
  <c r="B60" i="1"/>
  <c r="B61" i="1"/>
  <c r="B145" i="5" s="1"/>
  <c r="B62" i="1"/>
  <c r="E59" i="1"/>
  <c r="F59" i="1"/>
  <c r="B146" i="5" l="1"/>
  <c r="B182" i="5"/>
  <c r="B69" i="5"/>
  <c r="B109" i="5"/>
  <c r="B68" i="5"/>
  <c r="B108" i="5"/>
  <c r="F58" i="1"/>
  <c r="B58" i="1"/>
  <c r="F57" i="1"/>
  <c r="E57" i="1"/>
  <c r="F56" i="1"/>
  <c r="E56" i="1"/>
  <c r="A4" i="4"/>
  <c r="E67" i="1"/>
  <c r="E33" i="1"/>
  <c r="F55" i="1"/>
  <c r="E55" i="1"/>
  <c r="B56" i="1"/>
  <c r="B57" i="1"/>
  <c r="B59" i="1"/>
  <c r="F54" i="1"/>
  <c r="E20" i="1"/>
  <c r="I2" i="4"/>
  <c r="F53" i="1"/>
  <c r="E53" i="1"/>
  <c r="E52" i="1"/>
  <c r="F52" i="1"/>
  <c r="B52" i="1"/>
  <c r="B53" i="1"/>
  <c r="B54" i="1"/>
  <c r="B55" i="1"/>
  <c r="F51" i="1"/>
  <c r="E51" i="1"/>
  <c r="E4" i="1"/>
  <c r="F68" i="1"/>
  <c r="F47" i="1"/>
  <c r="E47" i="1"/>
  <c r="F46" i="1"/>
  <c r="E46" i="1"/>
  <c r="B47" i="1"/>
  <c r="B68" i="1"/>
  <c r="B23" i="5" s="1"/>
  <c r="B22" i="1"/>
  <c r="B177" i="5" s="1"/>
  <c r="B38" i="1"/>
  <c r="B51" i="1"/>
  <c r="B46" i="1"/>
  <c r="F21" i="1"/>
  <c r="E21" i="1"/>
  <c r="F37" i="1"/>
  <c r="E37" i="1"/>
  <c r="F45" i="1"/>
  <c r="E45" i="1"/>
  <c r="F49" i="1"/>
  <c r="E49" i="1"/>
  <c r="F33" i="1"/>
  <c r="F69" i="1"/>
  <c r="E69" i="1"/>
  <c r="F44" i="1"/>
  <c r="E44" i="1"/>
  <c r="F43" i="1"/>
  <c r="B21" i="1"/>
  <c r="B123" i="5" s="1"/>
  <c r="B37" i="1"/>
  <c r="B122" i="5" s="1"/>
  <c r="B45" i="1"/>
  <c r="B49" i="1"/>
  <c r="B33" i="1"/>
  <c r="B158" i="5" s="1"/>
  <c r="B69" i="1"/>
  <c r="B44" i="1"/>
  <c r="E43" i="1"/>
  <c r="B43" i="1"/>
  <c r="F42" i="1"/>
  <c r="E42" i="1"/>
  <c r="B42" i="1"/>
  <c r="G25" i="1"/>
  <c r="F25" i="1"/>
  <c r="E25" i="1"/>
  <c r="B25" i="1"/>
  <c r="G24" i="1"/>
  <c r="F24" i="1"/>
  <c r="E24" i="1"/>
  <c r="B24" i="1"/>
  <c r="F9" i="1"/>
  <c r="E9" i="1"/>
  <c r="B9" i="1"/>
  <c r="B136" i="5" s="1"/>
  <c r="F36" i="1"/>
  <c r="E36" i="1"/>
  <c r="B36" i="1"/>
  <c r="F41" i="1"/>
  <c r="E41" i="1"/>
  <c r="B41" i="1"/>
  <c r="F40" i="1"/>
  <c r="E40" i="1"/>
  <c r="B40" i="1"/>
  <c r="B20" i="1"/>
  <c r="B119" i="5" s="1"/>
  <c r="B18" i="1"/>
  <c r="B28" i="5" s="1"/>
  <c r="F17" i="1"/>
  <c r="E17" i="1"/>
  <c r="B17" i="1"/>
  <c r="B178" i="5" s="1"/>
  <c r="F27" i="1"/>
  <c r="E27" i="1"/>
  <c r="B27" i="1"/>
  <c r="F32" i="1"/>
  <c r="E32" i="1"/>
  <c r="B32" i="1"/>
  <c r="B133" i="5" s="1"/>
  <c r="F30" i="1"/>
  <c r="E30" i="1"/>
  <c r="B30" i="1"/>
  <c r="F8" i="1"/>
  <c r="E8" i="1"/>
  <c r="B8" i="1"/>
  <c r="F15" i="1"/>
  <c r="E15" i="1"/>
  <c r="B15" i="1"/>
  <c r="F35" i="1"/>
  <c r="E35" i="1"/>
  <c r="B35" i="1"/>
  <c r="F14" i="1"/>
  <c r="E14" i="1"/>
  <c r="B14" i="1"/>
  <c r="F11" i="1"/>
  <c r="E11" i="1"/>
  <c r="B11" i="1"/>
  <c r="F26" i="1"/>
  <c r="E26" i="1"/>
  <c r="B26" i="1"/>
  <c r="F19" i="1"/>
  <c r="E19" i="1"/>
  <c r="B19" i="1"/>
  <c r="F10" i="1"/>
  <c r="E10" i="1"/>
  <c r="B10" i="1"/>
  <c r="F6" i="1"/>
  <c r="E6" i="1"/>
  <c r="B6" i="1"/>
  <c r="B126" i="5" s="1"/>
  <c r="F31" i="1"/>
  <c r="E31" i="1"/>
  <c r="B31" i="1"/>
  <c r="F34" i="1"/>
  <c r="E34" i="1"/>
  <c r="B34" i="1"/>
  <c r="B173" i="5" s="1"/>
  <c r="F13" i="1"/>
  <c r="E13" i="1"/>
  <c r="B13" i="1"/>
  <c r="F12" i="1"/>
  <c r="E12" i="1"/>
  <c r="B12" i="1"/>
  <c r="F28" i="1"/>
  <c r="E28" i="1"/>
  <c r="B28" i="1"/>
  <c r="F67" i="1"/>
  <c r="B67" i="1"/>
  <c r="F48" i="1"/>
  <c r="E48" i="1"/>
  <c r="B48" i="1"/>
  <c r="E23" i="1"/>
  <c r="B23" i="1"/>
  <c r="B141" i="5" s="1"/>
  <c r="G7" i="1"/>
  <c r="F7" i="1"/>
  <c r="E7" i="1"/>
  <c r="B7" i="1"/>
  <c r="F2" i="1"/>
  <c r="B2" i="1"/>
  <c r="F5" i="1"/>
  <c r="E5" i="1"/>
  <c r="B5" i="1"/>
  <c r="F4" i="1"/>
  <c r="B4" i="1"/>
  <c r="F3" i="1"/>
  <c r="E3" i="1"/>
  <c r="B3" i="1"/>
  <c r="F39" i="1"/>
  <c r="E39" i="1"/>
  <c r="B39" i="1"/>
  <c r="B176" i="5" s="1"/>
  <c r="H55" i="4" l="1"/>
  <c r="H44" i="4"/>
  <c r="H52" i="4"/>
  <c r="H31" i="4"/>
  <c r="H16" i="4"/>
  <c r="H24" i="4"/>
  <c r="H9" i="4"/>
  <c r="H2" i="4"/>
  <c r="H56" i="4"/>
  <c r="H45" i="4"/>
  <c r="H53" i="4"/>
  <c r="H32" i="4"/>
  <c r="H17" i="4"/>
  <c r="H25" i="4"/>
  <c r="H10" i="4"/>
  <c r="H57" i="4"/>
  <c r="H46" i="4"/>
  <c r="H54" i="4"/>
  <c r="H33" i="4"/>
  <c r="H18" i="4"/>
  <c r="H3" i="4"/>
  <c r="H11" i="4"/>
  <c r="H38" i="4"/>
  <c r="H39" i="4"/>
  <c r="H47" i="4"/>
  <c r="H26" i="4"/>
  <c r="H34" i="4"/>
  <c r="H19" i="4"/>
  <c r="H4" i="4"/>
  <c r="H12" i="4"/>
  <c r="H8" i="4"/>
  <c r="H40" i="4"/>
  <c r="H48" i="4"/>
  <c r="H27" i="4"/>
  <c r="H35" i="4"/>
  <c r="H20" i="4"/>
  <c r="H5" i="4"/>
  <c r="H13" i="4"/>
  <c r="H23" i="4"/>
  <c r="H41" i="4"/>
  <c r="H49" i="4"/>
  <c r="H28" i="4"/>
  <c r="H36" i="4"/>
  <c r="H21" i="4"/>
  <c r="H6" i="4"/>
  <c r="H14" i="4"/>
  <c r="H51" i="4"/>
  <c r="H42" i="4"/>
  <c r="H50" i="4"/>
  <c r="H29" i="4"/>
  <c r="H37" i="4"/>
  <c r="H22" i="4"/>
  <c r="H7" i="4"/>
  <c r="H15" i="4"/>
  <c r="H30" i="4"/>
  <c r="H43" i="4"/>
  <c r="B138" i="5"/>
  <c r="B179" i="5"/>
  <c r="B91" i="5"/>
  <c r="B156" i="5"/>
  <c r="B77" i="5"/>
  <c r="B169" i="5"/>
  <c r="B74" i="5"/>
  <c r="B166" i="5"/>
  <c r="B90" i="5"/>
  <c r="B154" i="5"/>
  <c r="B78" i="5"/>
  <c r="B170" i="5"/>
  <c r="B61" i="5"/>
  <c r="B142" i="5"/>
  <c r="B93" i="5"/>
  <c r="B137" i="5"/>
  <c r="B132" i="5"/>
  <c r="B135" i="5"/>
  <c r="B26" i="5"/>
  <c r="B134" i="5"/>
  <c r="B58" i="5"/>
  <c r="B129" i="5"/>
  <c r="B116" i="5"/>
  <c r="B128" i="5"/>
  <c r="B118" i="5"/>
  <c r="B130" i="5"/>
  <c r="B112" i="5"/>
  <c r="B124" i="5"/>
  <c r="B114" i="5"/>
  <c r="B125" i="5"/>
  <c r="B115" i="5"/>
  <c r="B127" i="5"/>
  <c r="B110" i="5"/>
  <c r="B120" i="5"/>
  <c r="B48" i="5"/>
  <c r="B113" i="5"/>
  <c r="B63" i="5"/>
  <c r="B103" i="5"/>
  <c r="B59" i="5"/>
  <c r="B92" i="5"/>
  <c r="B55" i="5"/>
  <c r="B64" i="5"/>
  <c r="B56" i="5"/>
  <c r="B65" i="5"/>
  <c r="B54" i="5"/>
  <c r="B62" i="5"/>
  <c r="B31" i="5"/>
  <c r="B57" i="5"/>
  <c r="B34" i="5"/>
  <c r="B49" i="5"/>
  <c r="B38" i="5"/>
  <c r="B53" i="5"/>
  <c r="B36" i="5"/>
  <c r="B51" i="5"/>
  <c r="B37" i="5"/>
  <c r="B52" i="5"/>
  <c r="B32" i="5"/>
  <c r="B47" i="5"/>
  <c r="B35" i="5"/>
  <c r="B50" i="5"/>
  <c r="B46" i="5"/>
  <c r="B30" i="5"/>
  <c r="B33" i="5"/>
  <c r="B25" i="5"/>
  <c r="B41" i="5"/>
  <c r="B42" i="5"/>
  <c r="B27" i="5"/>
  <c r="B44" i="5"/>
  <c r="B39" i="5"/>
  <c r="B29" i="5"/>
  <c r="B45" i="5"/>
  <c r="B40" i="5"/>
  <c r="B43" i="5"/>
  <c r="B3" i="5"/>
  <c r="B13" i="5"/>
  <c r="B2" i="5"/>
  <c r="B14" i="5"/>
  <c r="B24" i="5"/>
  <c r="B12" i="5"/>
  <c r="B11" i="5"/>
  <c r="B22" i="5"/>
  <c r="B10" i="5"/>
  <c r="B21" i="5"/>
  <c r="B9" i="5"/>
  <c r="B20" i="5"/>
  <c r="B8" i="5"/>
  <c r="B19" i="5"/>
  <c r="B7" i="5"/>
  <c r="B18" i="5"/>
  <c r="B6" i="5"/>
  <c r="B17" i="5"/>
  <c r="B5" i="5"/>
  <c r="B16" i="5"/>
  <c r="B4" i="5"/>
  <c r="B15" i="5"/>
  <c r="D213" i="1"/>
  <c r="D263" i="1"/>
  <c r="D264" i="1"/>
  <c r="C139" i="1" a="1"/>
  <c r="C139" i="1" s="1"/>
  <c r="C195" i="1" a="1"/>
  <c r="C195" i="1" s="1"/>
  <c r="C212" i="1" a="1"/>
  <c r="C212" i="1" s="1"/>
  <c r="C222" i="1" a="1"/>
  <c r="C222" i="1" s="1"/>
  <c r="C252" i="1" a="1"/>
  <c r="C252" i="1" s="1"/>
  <c r="C261" i="1" a="1"/>
  <c r="C261" i="1" s="1"/>
  <c r="C68" i="1" a="1"/>
  <c r="C68" i="1" s="1"/>
  <c r="C80" i="1" a="1"/>
  <c r="C80" i="1" s="1"/>
  <c r="C92" i="1" a="1"/>
  <c r="C92" i="1" s="1"/>
  <c r="C104" i="1" a="1"/>
  <c r="C104" i="1" s="1"/>
  <c r="C116" i="1" a="1"/>
  <c r="C116" i="1" s="1"/>
  <c r="C128" i="1" a="1"/>
  <c r="C128" i="1" s="1"/>
  <c r="C140" i="1" a="1"/>
  <c r="C140" i="1" s="1"/>
  <c r="C152" i="1" a="1"/>
  <c r="C152" i="1" s="1"/>
  <c r="C164" i="1" a="1"/>
  <c r="C164" i="1" s="1"/>
  <c r="C2" i="1" a="1"/>
  <c r="C2" i="1" s="1"/>
  <c r="C14" i="1" a="1"/>
  <c r="C14" i="1" s="1"/>
  <c r="C26" i="1" a="1"/>
  <c r="C26" i="1" s="1"/>
  <c r="C38" i="1" a="1"/>
  <c r="C38" i="1" s="1"/>
  <c r="C50" i="1" a="1"/>
  <c r="C50" i="1" s="1"/>
  <c r="C181" i="1" a="1"/>
  <c r="C181" i="1" s="1"/>
  <c r="C200" i="1" a="1"/>
  <c r="C200" i="1" s="1"/>
  <c r="C209" i="1" a="1"/>
  <c r="C209" i="1" s="1"/>
  <c r="C217" i="1" a="1"/>
  <c r="C217" i="1" s="1"/>
  <c r="C257" i="1" a="1"/>
  <c r="C257" i="1" s="1"/>
  <c r="C163" i="1" a="1"/>
  <c r="C163" i="1" s="1"/>
  <c r="C202" i="1" a="1"/>
  <c r="C202" i="1" s="1"/>
  <c r="C213" i="1" a="1"/>
  <c r="C213" i="1" s="1"/>
  <c r="C69" i="1" a="1"/>
  <c r="C69" i="1" s="1"/>
  <c r="C81" i="1" a="1"/>
  <c r="C81" i="1" s="1"/>
  <c r="C93" i="1" a="1"/>
  <c r="C93" i="1" s="1"/>
  <c r="C105" i="1" a="1"/>
  <c r="C105" i="1" s="1"/>
  <c r="C117" i="1" a="1"/>
  <c r="C117" i="1" s="1"/>
  <c r="C129" i="1" a="1"/>
  <c r="C129" i="1" s="1"/>
  <c r="C141" i="1" a="1"/>
  <c r="C141" i="1" s="1"/>
  <c r="C153" i="1" a="1"/>
  <c r="C153" i="1" s="1"/>
  <c r="C165" i="1" a="1"/>
  <c r="C165" i="1" s="1"/>
  <c r="C3" i="1" a="1"/>
  <c r="C3" i="1" s="1"/>
  <c r="C15" i="1" a="1"/>
  <c r="C15" i="1" s="1"/>
  <c r="C27" i="1" a="1"/>
  <c r="C27" i="1" s="1"/>
  <c r="C39" i="1" a="1"/>
  <c r="C39" i="1" s="1"/>
  <c r="C51" i="1" a="1"/>
  <c r="C51" i="1" s="1"/>
  <c r="C178" i="1" a="1"/>
  <c r="C178" i="1" s="1"/>
  <c r="C188" i="1" a="1"/>
  <c r="C188" i="1" s="1"/>
  <c r="C182" i="1" a="1"/>
  <c r="C182" i="1" s="1"/>
  <c r="C191" i="1" a="1"/>
  <c r="C191" i="1" s="1"/>
  <c r="C207" i="1" a="1"/>
  <c r="C207" i="1" s="1"/>
  <c r="C220" i="1" a="1"/>
  <c r="C220" i="1" s="1"/>
  <c r="C242" i="1" a="1"/>
  <c r="C242" i="1" s="1"/>
  <c r="C250" i="1" a="1"/>
  <c r="C250" i="1" s="1"/>
  <c r="F205" i="5" s="1"/>
  <c r="C235" i="1" a="1"/>
  <c r="C235" i="1" s="1"/>
  <c r="C260" i="1" a="1"/>
  <c r="C260" i="1" s="1"/>
  <c r="C127" i="1" a="1"/>
  <c r="C127" i="1" s="1"/>
  <c r="C193" i="1" a="1"/>
  <c r="C193" i="1" s="1"/>
  <c r="C106" i="1" a="1"/>
  <c r="C106" i="1" s="1"/>
  <c r="C154" i="1" a="1"/>
  <c r="C154" i="1" s="1"/>
  <c r="C40" i="1" a="1"/>
  <c r="C40" i="1" s="1"/>
  <c r="C194" i="1" a="1"/>
  <c r="C194" i="1" s="1"/>
  <c r="C71" i="1" a="1"/>
  <c r="C71" i="1" s="1"/>
  <c r="C83" i="1" a="1"/>
  <c r="C83" i="1" s="1"/>
  <c r="C95" i="1" a="1"/>
  <c r="C95" i="1" s="1"/>
  <c r="C107" i="1" a="1"/>
  <c r="C107" i="1" s="1"/>
  <c r="C119" i="1" a="1"/>
  <c r="C119" i="1" s="1"/>
  <c r="C131" i="1" a="1"/>
  <c r="C131" i="1" s="1"/>
  <c r="C143" i="1" a="1"/>
  <c r="C143" i="1" s="1"/>
  <c r="C155" i="1" a="1"/>
  <c r="C155" i="1" s="1"/>
  <c r="C167" i="1" a="1"/>
  <c r="C167" i="1" s="1"/>
  <c r="C5" i="1" a="1"/>
  <c r="C5" i="1" s="1"/>
  <c r="C17" i="1" a="1"/>
  <c r="C17" i="1" s="1"/>
  <c r="C29" i="1" a="1"/>
  <c r="C29" i="1" s="1"/>
  <c r="C41" i="1" a="1"/>
  <c r="C41" i="1" s="1"/>
  <c r="C53" i="1" a="1"/>
  <c r="C53" i="1" s="1"/>
  <c r="C176" i="1" a="1"/>
  <c r="C176" i="1" s="1"/>
  <c r="C187" i="1" a="1"/>
  <c r="C187" i="1" s="1"/>
  <c r="C223" i="1" a="1"/>
  <c r="C223" i="1" s="1"/>
  <c r="C226" i="1" a="1"/>
  <c r="C226" i="1" s="1"/>
  <c r="F203" i="5" s="1"/>
  <c r="C230" i="1" a="1"/>
  <c r="C230" i="1" s="1"/>
  <c r="C236" i="1" a="1"/>
  <c r="C236" i="1" s="1"/>
  <c r="C175" i="1" a="1"/>
  <c r="C175" i="1" s="1"/>
  <c r="C70" i="1" a="1"/>
  <c r="C70" i="1" s="1"/>
  <c r="C118" i="1" a="1"/>
  <c r="C118" i="1" s="1"/>
  <c r="C166" i="1" a="1"/>
  <c r="C166" i="1" s="1"/>
  <c r="C28" i="1" a="1"/>
  <c r="C28" i="1" s="1"/>
  <c r="C72" i="1" a="1"/>
  <c r="C72" i="1" s="1"/>
  <c r="C96" i="1" a="1"/>
  <c r="C96" i="1" s="1"/>
  <c r="C108" i="1" a="1"/>
  <c r="C108" i="1" s="1"/>
  <c r="C120" i="1" a="1"/>
  <c r="C120" i="1" s="1"/>
  <c r="C132" i="1" a="1"/>
  <c r="C132" i="1" s="1"/>
  <c r="C144" i="1" a="1"/>
  <c r="C144" i="1" s="1"/>
  <c r="C156" i="1" a="1"/>
  <c r="C156" i="1" s="1"/>
  <c r="C168" i="1" a="1"/>
  <c r="C168" i="1" s="1"/>
  <c r="C6" i="1" a="1"/>
  <c r="C6" i="1" s="1"/>
  <c r="C18" i="1" a="1"/>
  <c r="C18" i="1" s="1"/>
  <c r="C30" i="1" a="1"/>
  <c r="C30" i="1" s="1"/>
  <c r="F212" i="5" s="1"/>
  <c r="C42" i="1" a="1"/>
  <c r="C42" i="1" s="1"/>
  <c r="C54" i="1" a="1"/>
  <c r="C54" i="1" s="1"/>
  <c r="C192" i="1" a="1"/>
  <c r="C192" i="1" s="1"/>
  <c r="C203" i="1" a="1"/>
  <c r="C203" i="1" s="1"/>
  <c r="C231" i="1" a="1"/>
  <c r="C231" i="1" s="1"/>
  <c r="C237" i="1" a="1"/>
  <c r="C237" i="1" s="1"/>
  <c r="F208" i="5" s="1"/>
  <c r="C239" i="1" a="1"/>
  <c r="C239" i="1" s="1"/>
  <c r="C243" i="1" a="1"/>
  <c r="C243" i="1" s="1"/>
  <c r="C247" i="1" a="1"/>
  <c r="C247" i="1" s="1"/>
  <c r="C248" i="1" a="1"/>
  <c r="C248" i="1" s="1"/>
  <c r="C253" i="1" a="1"/>
  <c r="C253" i="1" s="1"/>
  <c r="C255" i="1" a="1"/>
  <c r="C255" i="1" s="1"/>
  <c r="C67" i="1" a="1"/>
  <c r="C67" i="1" s="1"/>
  <c r="C13" i="1" a="1"/>
  <c r="C13" i="1" s="1"/>
  <c r="C82" i="1" a="1"/>
  <c r="C82" i="1" s="1"/>
  <c r="F201" i="5" s="1"/>
  <c r="C130" i="1" a="1"/>
  <c r="C130" i="1" s="1"/>
  <c r="C4" i="1" a="1"/>
  <c r="C4" i="1" s="1"/>
  <c r="C52" i="1" a="1"/>
  <c r="C52" i="1" s="1"/>
  <c r="C84" i="1" a="1"/>
  <c r="C84" i="1" s="1"/>
  <c r="C73" i="1" a="1"/>
  <c r="C73" i="1" s="1"/>
  <c r="C97" i="1" a="1"/>
  <c r="C97" i="1" s="1"/>
  <c r="C109" i="1" a="1"/>
  <c r="C109" i="1" s="1"/>
  <c r="C121" i="1" a="1"/>
  <c r="C121" i="1" s="1"/>
  <c r="C133" i="1" a="1"/>
  <c r="C133" i="1" s="1"/>
  <c r="C145" i="1" a="1"/>
  <c r="C145" i="1" s="1"/>
  <c r="C157" i="1" a="1"/>
  <c r="C157" i="1" s="1"/>
  <c r="C169" i="1" a="1"/>
  <c r="C169" i="1" s="1"/>
  <c r="C7" i="1" a="1"/>
  <c r="C7" i="1" s="1"/>
  <c r="C19" i="1" a="1"/>
  <c r="C19" i="1" s="1"/>
  <c r="C31" i="1" a="1"/>
  <c r="C31" i="1" s="1"/>
  <c r="F200" i="5" s="1"/>
  <c r="C43" i="1" a="1"/>
  <c r="C43" i="1" s="1"/>
  <c r="C55" i="1" a="1"/>
  <c r="C55" i="1" s="1"/>
  <c r="C179" i="1" a="1"/>
  <c r="C179" i="1" s="1"/>
  <c r="C186" i="1" a="1"/>
  <c r="C186" i="1" s="1"/>
  <c r="C189" i="1" a="1"/>
  <c r="C189" i="1" s="1"/>
  <c r="C197" i="1" a="1"/>
  <c r="C197" i="1" s="1"/>
  <c r="C208" i="1" a="1"/>
  <c r="C208" i="1" s="1"/>
  <c r="C232" i="1" a="1"/>
  <c r="C232" i="1" s="1"/>
  <c r="C238" i="1" a="1"/>
  <c r="C238" i="1" s="1"/>
  <c r="F207" i="5" s="1"/>
  <c r="C259" i="1" a="1"/>
  <c r="C259" i="1" s="1"/>
  <c r="C79" i="1" a="1"/>
  <c r="C79" i="1" s="1"/>
  <c r="C25" i="1" a="1"/>
  <c r="C25" i="1" s="1"/>
  <c r="C94" i="1" a="1"/>
  <c r="C94" i="1" s="1"/>
  <c r="C142" i="1" a="1"/>
  <c r="C142" i="1" s="1"/>
  <c r="C16" i="1" a="1"/>
  <c r="C16" i="1" s="1"/>
  <c r="C198" i="1" a="1"/>
  <c r="C198" i="1" s="1"/>
  <c r="C62" i="1" a="1"/>
  <c r="C62" i="1" s="1"/>
  <c r="C85" i="1" a="1"/>
  <c r="C85" i="1" s="1"/>
  <c r="C61" i="1" a="1"/>
  <c r="C61" i="1" s="1"/>
  <c r="C74" i="1" a="1"/>
  <c r="C74" i="1" s="1"/>
  <c r="F213" i="5" s="1"/>
  <c r="C86" i="1" a="1"/>
  <c r="C86" i="1" s="1"/>
  <c r="C98" i="1" a="1"/>
  <c r="C98" i="1" s="1"/>
  <c r="C110" i="1" a="1"/>
  <c r="C110" i="1" s="1"/>
  <c r="C122" i="1" a="1"/>
  <c r="C122" i="1" s="1"/>
  <c r="C134" i="1" a="1"/>
  <c r="C134" i="1" s="1"/>
  <c r="C146" i="1" a="1"/>
  <c r="C146" i="1" s="1"/>
  <c r="C158" i="1" a="1"/>
  <c r="C158" i="1" s="1"/>
  <c r="C170" i="1" a="1"/>
  <c r="C170" i="1" s="1"/>
  <c r="C8" i="1" a="1"/>
  <c r="C8" i="1" s="1"/>
  <c r="F214" i="5" s="1"/>
  <c r="C20" i="1" a="1"/>
  <c r="C20" i="1" s="1"/>
  <c r="C32" i="1" a="1"/>
  <c r="C32" i="1" s="1"/>
  <c r="C44" i="1" a="1"/>
  <c r="C44" i="1" s="1"/>
  <c r="C56" i="1" a="1"/>
  <c r="C56" i="1" s="1"/>
  <c r="C201" i="1" a="1"/>
  <c r="C201" i="1" s="1"/>
  <c r="C214" i="1" a="1"/>
  <c r="C214" i="1" s="1"/>
  <c r="C233" i="1" a="1"/>
  <c r="C233" i="1" s="1"/>
  <c r="C251" i="1" a="1"/>
  <c r="C251" i="1" s="1"/>
  <c r="C115" i="1" a="1"/>
  <c r="C115" i="1" s="1"/>
  <c r="C49" i="1" a="1"/>
  <c r="C49" i="1" s="1"/>
  <c r="C111" i="1" a="1"/>
  <c r="C111" i="1" s="1"/>
  <c r="C123" i="1" a="1"/>
  <c r="C123" i="1" s="1"/>
  <c r="C135" i="1" a="1"/>
  <c r="C135" i="1" s="1"/>
  <c r="C147" i="1" a="1"/>
  <c r="C147" i="1" s="1"/>
  <c r="C159" i="1" a="1"/>
  <c r="C159" i="1" s="1"/>
  <c r="C171" i="1" a="1"/>
  <c r="C171" i="1" s="1"/>
  <c r="C9" i="1" a="1"/>
  <c r="C9" i="1" s="1"/>
  <c r="F210" i="5" s="1"/>
  <c r="C21" i="1" a="1"/>
  <c r="C21" i="1" s="1"/>
  <c r="C33" i="1" a="1"/>
  <c r="C33" i="1" s="1"/>
  <c r="F209" i="5" s="1"/>
  <c r="C45" i="1" a="1"/>
  <c r="C45" i="1" s="1"/>
  <c r="C57" i="1" a="1"/>
  <c r="C57" i="1" s="1"/>
  <c r="C185" i="1" a="1"/>
  <c r="C185" i="1" s="1"/>
  <c r="C199" i="1" a="1"/>
  <c r="C199" i="1" s="1"/>
  <c r="C218" i="1" a="1"/>
  <c r="C218" i="1" s="1"/>
  <c r="C221" i="1" a="1"/>
  <c r="C221" i="1" s="1"/>
  <c r="C224" i="1" a="1"/>
  <c r="C224" i="1" s="1"/>
  <c r="F206" i="5" s="1"/>
  <c r="C227" i="1" a="1"/>
  <c r="C227" i="1" s="1"/>
  <c r="F197" i="5" s="1"/>
  <c r="C234" i="1" a="1"/>
  <c r="C234" i="1" s="1"/>
  <c r="C240" i="1" a="1"/>
  <c r="C240" i="1" s="1"/>
  <c r="C244" i="1" a="1"/>
  <c r="C244" i="1" s="1"/>
  <c r="C246" i="1" a="1"/>
  <c r="C246" i="1" s="1"/>
  <c r="C103" i="1" a="1"/>
  <c r="C103" i="1" s="1"/>
  <c r="C183" i="1" a="1"/>
  <c r="C183" i="1" s="1"/>
  <c r="C87" i="1" a="1"/>
  <c r="C87" i="1" s="1"/>
  <c r="C76" i="1" a="1"/>
  <c r="C76" i="1" s="1"/>
  <c r="C112" i="1" a="1"/>
  <c r="C112" i="1" s="1"/>
  <c r="C136" i="1" a="1"/>
  <c r="C136" i="1" s="1"/>
  <c r="C160" i="1" a="1"/>
  <c r="C160" i="1" s="1"/>
  <c r="C172" i="1" a="1"/>
  <c r="C172" i="1" s="1"/>
  <c r="C10" i="1" a="1"/>
  <c r="C10" i="1" s="1"/>
  <c r="C22" i="1" a="1"/>
  <c r="C22" i="1" s="1"/>
  <c r="C34" i="1" a="1"/>
  <c r="C34" i="1" s="1"/>
  <c r="C46" i="1" a="1"/>
  <c r="C46" i="1" s="1"/>
  <c r="C58" i="1" a="1"/>
  <c r="C58" i="1" s="1"/>
  <c r="C177" i="1" a="1"/>
  <c r="C177" i="1" s="1"/>
  <c r="C196" i="1" a="1"/>
  <c r="C196" i="1" s="1"/>
  <c r="C206" i="1" a="1"/>
  <c r="C206" i="1" s="1"/>
  <c r="C210" i="1" a="1"/>
  <c r="C210" i="1" s="1"/>
  <c r="C215" i="1" a="1"/>
  <c r="C215" i="1" s="1"/>
  <c r="C225" i="1" a="1"/>
  <c r="C225" i="1" s="1"/>
  <c r="F204" i="5" s="1"/>
  <c r="C249" i="1" a="1"/>
  <c r="C249" i="1" s="1"/>
  <c r="C256" i="1" a="1"/>
  <c r="C256" i="1" s="1"/>
  <c r="C258" i="1" a="1"/>
  <c r="C258" i="1" s="1"/>
  <c r="C151" i="1" a="1"/>
  <c r="C151" i="1" s="1"/>
  <c r="C63" i="1" a="1"/>
  <c r="C63" i="1" s="1"/>
  <c r="C99" i="1" a="1"/>
  <c r="C99" i="1" s="1"/>
  <c r="C88" i="1" a="1"/>
  <c r="C88" i="1" s="1"/>
  <c r="C124" i="1" a="1"/>
  <c r="C124" i="1" s="1"/>
  <c r="C148" i="1" a="1"/>
  <c r="C148" i="1" s="1"/>
  <c r="C65" i="1" a="1"/>
  <c r="C65" i="1" s="1"/>
  <c r="C77" i="1" a="1"/>
  <c r="C77" i="1" s="1"/>
  <c r="C89" i="1" a="1"/>
  <c r="C89" i="1" s="1"/>
  <c r="C101" i="1" a="1"/>
  <c r="C101" i="1" s="1"/>
  <c r="C113" i="1" a="1"/>
  <c r="C113" i="1" s="1"/>
  <c r="C125" i="1" a="1"/>
  <c r="C125" i="1" s="1"/>
  <c r="C137" i="1" a="1"/>
  <c r="C137" i="1" s="1"/>
  <c r="C149" i="1" a="1"/>
  <c r="C149" i="1" s="1"/>
  <c r="C161" i="1" a="1"/>
  <c r="C161" i="1" s="1"/>
  <c r="C173" i="1" a="1"/>
  <c r="C173" i="1" s="1"/>
  <c r="C11" i="1" a="1"/>
  <c r="C11" i="1" s="1"/>
  <c r="C23" i="1" a="1"/>
  <c r="C23" i="1" s="1"/>
  <c r="C35" i="1" a="1"/>
  <c r="C35" i="1" s="1"/>
  <c r="F199" i="5" s="1"/>
  <c r="C47" i="1" a="1"/>
  <c r="C47" i="1" s="1"/>
  <c r="C59" i="1" a="1"/>
  <c r="C59" i="1" s="1"/>
  <c r="C180" i="1" a="1"/>
  <c r="C180" i="1" s="1"/>
  <c r="C184" i="1" a="1"/>
  <c r="C184" i="1" s="1"/>
  <c r="C204" i="1" a="1"/>
  <c r="C204" i="1" s="1"/>
  <c r="C229" i="1" a="1"/>
  <c r="C229" i="1" s="1"/>
  <c r="C254" i="1" a="1"/>
  <c r="C254" i="1" s="1"/>
  <c r="F211" i="5" s="1"/>
  <c r="C91" i="1" a="1"/>
  <c r="C91" i="1" s="1"/>
  <c r="C37" i="1" a="1"/>
  <c r="C37" i="1" s="1"/>
  <c r="C75" i="1" a="1"/>
  <c r="C75" i="1" s="1"/>
  <c r="F215" i="5" s="1"/>
  <c r="C64" i="1" a="1"/>
  <c r="C64" i="1" s="1"/>
  <c r="C100" i="1" a="1"/>
  <c r="C100" i="1" s="1"/>
  <c r="C66" i="1" a="1"/>
  <c r="C66" i="1" s="1"/>
  <c r="C78" i="1" a="1"/>
  <c r="C78" i="1" s="1"/>
  <c r="C90" i="1" a="1"/>
  <c r="C90" i="1" s="1"/>
  <c r="C102" i="1" a="1"/>
  <c r="C102" i="1" s="1"/>
  <c r="C114" i="1" a="1"/>
  <c r="C114" i="1" s="1"/>
  <c r="C126" i="1" a="1"/>
  <c r="C126" i="1" s="1"/>
  <c r="C138" i="1" a="1"/>
  <c r="C138" i="1" s="1"/>
  <c r="C150" i="1" a="1"/>
  <c r="C150" i="1" s="1"/>
  <c r="C162" i="1" a="1"/>
  <c r="C162" i="1" s="1"/>
  <c r="C174" i="1" a="1"/>
  <c r="C174" i="1" s="1"/>
  <c r="C12" i="1" a="1"/>
  <c r="C12" i="1" s="1"/>
  <c r="C24" i="1" a="1"/>
  <c r="C24" i="1" s="1"/>
  <c r="C36" i="1" a="1"/>
  <c r="C36" i="1" s="1"/>
  <c r="F202" i="5" s="1"/>
  <c r="C48" i="1" a="1"/>
  <c r="C48" i="1" s="1"/>
  <c r="C60" i="1" a="1"/>
  <c r="C60" i="1" s="1"/>
  <c r="C190" i="1" a="1"/>
  <c r="C190" i="1" s="1"/>
  <c r="C211" i="1" a="1"/>
  <c r="C211" i="1" s="1"/>
  <c r="C216" i="1" a="1"/>
  <c r="C216" i="1" s="1"/>
  <c r="C219" i="1" a="1"/>
  <c r="C219" i="1" s="1"/>
  <c r="C228" i="1" a="1"/>
  <c r="C228" i="1" s="1"/>
  <c r="F198" i="5" s="1"/>
  <c r="C241" i="1" a="1"/>
  <c r="C241" i="1" s="1"/>
  <c r="F196" i="5" s="1"/>
  <c r="C245" i="1" a="1"/>
  <c r="C245" i="1" s="1"/>
  <c r="C262" i="1" a="1"/>
  <c r="C262" i="1" s="1"/>
  <c r="C263" i="1" a="1"/>
  <c r="C263" i="1" s="1"/>
  <c r="C264" i="1" a="1"/>
  <c r="C26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<sst xmlns="http://schemas.openxmlformats.org/spreadsheetml/2006/main" count="2226" uniqueCount="713">
  <si>
    <t>PART</t>
    <phoneticPr fontId="1" type="noConversion"/>
  </si>
  <si>
    <t>QTY</t>
    <phoneticPr fontId="1" type="noConversion"/>
  </si>
  <si>
    <t>DESC.</t>
    <phoneticPr fontId="1" type="noConversion"/>
  </si>
  <si>
    <t>LINK</t>
    <phoneticPr fontId="1" type="noConversion"/>
  </si>
  <si>
    <t>DATA</t>
    <phoneticPr fontId="1" type="noConversion"/>
  </si>
  <si>
    <t>POW</t>
    <phoneticPr fontId="1" type="noConversion"/>
  </si>
  <si>
    <t>switching power: buck, boost</t>
    <phoneticPr fontId="1" type="noConversion"/>
  </si>
  <si>
    <t>LDO</t>
    <phoneticPr fontId="1" type="noConversion"/>
  </si>
  <si>
    <t>linear power</t>
    <phoneticPr fontId="1" type="noConversion"/>
  </si>
  <si>
    <t>ADC</t>
    <phoneticPr fontId="1" type="noConversion"/>
  </si>
  <si>
    <t>DAC</t>
    <phoneticPr fontId="1" type="noConversion"/>
  </si>
  <si>
    <t>R</t>
    <phoneticPr fontId="1" type="noConversion"/>
  </si>
  <si>
    <t>C</t>
    <phoneticPr fontId="1" type="noConversion"/>
  </si>
  <si>
    <t>L</t>
    <phoneticPr fontId="1" type="noConversion"/>
  </si>
  <si>
    <t>POW_PSO8_TI_TPS5431</t>
    <phoneticPr fontId="1" type="noConversion"/>
  </si>
  <si>
    <t>REF_PKG_品牌_PART</t>
    <phoneticPr fontId="1" type="noConversion"/>
  </si>
  <si>
    <t>UNIT PRICE</t>
    <phoneticPr fontId="1" type="noConversion"/>
  </si>
  <si>
    <t>Buck, 3A, Vin:5.5~23V, Vout:1.2~20.4V, 500KHz</t>
    <phoneticPr fontId="1" type="noConversion"/>
  </si>
  <si>
    <t>SPEC</t>
    <phoneticPr fontId="1" type="noConversion"/>
  </si>
  <si>
    <t>PRE</t>
    <phoneticPr fontId="1" type="noConversion"/>
  </si>
  <si>
    <t>PKG</t>
    <phoneticPr fontId="1" type="noConversion"/>
  </si>
  <si>
    <t>PSO8</t>
    <phoneticPr fontId="1" type="noConversion"/>
  </si>
  <si>
    <t>有Exposed pad 的SO8</t>
    <phoneticPr fontId="1" type="noConversion"/>
  </si>
  <si>
    <t>part 填寫規則:</t>
    <phoneticPr fontId="1" type="noConversion"/>
  </si>
  <si>
    <t>PRE 定義</t>
    <phoneticPr fontId="1" type="noConversion"/>
  </si>
  <si>
    <t>15µH 屏蔽型 電感器 3.4A 41mOhm 最大</t>
    <phoneticPr fontId="1" type="noConversion"/>
  </si>
  <si>
    <t>68uH 3.4A 121mOhm</t>
    <phoneticPr fontId="1" type="noConversion"/>
  </si>
  <si>
    <t>CAP TANT POLY 220UF 20V 2924</t>
    <phoneticPr fontId="1" type="noConversion"/>
  </si>
  <si>
    <t>PROJECT</t>
    <phoneticPr fontId="1" type="noConversion"/>
  </si>
  <si>
    <t>IMU</t>
    <phoneticPr fontId="1" type="noConversion"/>
  </si>
  <si>
    <t>EVB</t>
    <phoneticPr fontId="1" type="noConversion"/>
  </si>
  <si>
    <t>開發板</t>
    <phoneticPr fontId="1" type="noConversion"/>
  </si>
  <si>
    <t>EVB_ADXL355-PMDZ</t>
    <phoneticPr fontId="1" type="noConversion"/>
  </si>
  <si>
    <t>EVB_ADXL355Z</t>
    <phoneticPr fontId="1" type="noConversion"/>
  </si>
  <si>
    <t>EVB</t>
    <phoneticPr fontId="1" type="noConversion"/>
  </si>
  <si>
    <t>ADXL355 加速計 感測器 評估板，直角固定</t>
    <phoneticPr fontId="1" type="noConversion"/>
  </si>
  <si>
    <t>ADXL355 - 加速計、三軸 評估板</t>
    <phoneticPr fontId="1" type="noConversion"/>
  </si>
  <si>
    <t>SER</t>
    <phoneticPr fontId="1" type="noConversion"/>
  </si>
  <si>
    <t>serial converter: rs232, rs485, uart</t>
    <phoneticPr fontId="1" type="noConversion"/>
  </si>
  <si>
    <t>IC</t>
    <phoneticPr fontId="1" type="noConversion"/>
  </si>
  <si>
    <t>EVB_開發板名稱</t>
    <phoneticPr fontId="1" type="noConversion"/>
  </si>
  <si>
    <t>SER_SO8_MAXIM_MAX3485</t>
    <phoneticPr fontId="1" type="noConversion"/>
  </si>
  <si>
    <t>SER</t>
    <phoneticPr fontId="1" type="noConversion"/>
  </si>
  <si>
    <t>RS232 to Uart，  16-SOIC，可5V</t>
    <phoneticPr fontId="1" type="noConversion"/>
  </si>
  <si>
    <t>positive, dropout &lt; 1.35V, 1A, adj</t>
    <phoneticPr fontId="1" type="noConversion"/>
  </si>
  <si>
    <t>LDO_TO-263-4_TI_LM2990</t>
    <phoneticPr fontId="1" type="noConversion"/>
  </si>
  <si>
    <t>LDO_TO-263-6_TI_LM2991</t>
    <phoneticPr fontId="1" type="noConversion"/>
  </si>
  <si>
    <t>negative, dropout &lt; 1V, 1A, adj</t>
    <phoneticPr fontId="1" type="noConversion"/>
  </si>
  <si>
    <t>LDO_SOT-223-4_Diodes_ZLDO1117</t>
    <phoneticPr fontId="1" type="noConversion"/>
  </si>
  <si>
    <t>LS</t>
    <phoneticPr fontId="1" type="noConversion"/>
  </si>
  <si>
    <t>OP</t>
    <phoneticPr fontId="1" type="noConversion"/>
  </si>
  <si>
    <t>LS_SC-70-6_TI_SN74LVC1T45</t>
    <phoneticPr fontId="1" type="noConversion"/>
  </si>
  <si>
    <t>LS</t>
    <phoneticPr fontId="1" type="noConversion"/>
  </si>
  <si>
    <t>電壓位準轉換器, 雙向, 1 個電路 1 通道, 420Mbps, SC-70-6</t>
    <phoneticPr fontId="1" type="noConversion"/>
  </si>
  <si>
    <t>LDO_SOT-223-4_Diodes_AP7361-33E</t>
    <phoneticPr fontId="1" type="noConversion"/>
  </si>
  <si>
    <t>3.3V, dropout &lt; 0.7V, 1A, fixed</t>
    <phoneticPr fontId="1" type="noConversion"/>
  </si>
  <si>
    <t>10µF ±10% 25V 陶瓷電容 X7R 1812 (公制 4532)</t>
    <phoneticPr fontId="1" type="noConversion"/>
  </si>
  <si>
    <t>C_1812_TDK_MLCC_25V_10u</t>
    <phoneticPr fontId="1" type="noConversion"/>
  </si>
  <si>
    <t>C_0603_TDK_MLCC_50V_10n</t>
    <phoneticPr fontId="1" type="noConversion"/>
  </si>
  <si>
    <t>0.01µF ±10% 50V 陶瓷電容 X7R 0603 (公制 1608)</t>
    <phoneticPr fontId="1" type="noConversion"/>
  </si>
  <si>
    <t>D</t>
    <phoneticPr fontId="1" type="noConversion"/>
  </si>
  <si>
    <t>diode</t>
    <phoneticPr fontId="1" type="noConversion"/>
  </si>
  <si>
    <t>D_SMA_Diodes_Schottky_B340A</t>
    <phoneticPr fontId="1" type="noConversion"/>
  </si>
  <si>
    <t>二極體 肖特基 40V 3A 表面黏著式 SMA</t>
    <phoneticPr fontId="1" type="noConversion"/>
  </si>
  <si>
    <t>L_10x10_Wurth_3A_22u</t>
    <phoneticPr fontId="1" type="noConversion"/>
  </si>
  <si>
    <t>L_10x10_SUMIDA_3.4A_15u</t>
    <phoneticPr fontId="1" type="noConversion"/>
  </si>
  <si>
    <t>L_10x10_TDK_3.4A_68u</t>
    <phoneticPr fontId="1" type="noConversion"/>
  </si>
  <si>
    <t>22µH 屏蔽型 電感器 3A 50mOhm 最大</t>
    <phoneticPr fontId="1" type="noConversion"/>
  </si>
  <si>
    <t>C_2924_AVX_TANT_20V_200u</t>
    <phoneticPr fontId="1" type="noConversion"/>
  </si>
  <si>
    <t>C_2924_AVX_TANT_20V_330u</t>
    <phoneticPr fontId="1" type="noConversion"/>
  </si>
  <si>
    <t>C_0603_AVX_MLCC_25V_0.1u</t>
    <phoneticPr fontId="1" type="noConversion"/>
  </si>
  <si>
    <t>0.1µF -20%、+80% 25V 陶瓷電容 Y5V (F) 0603 (公制 1608)</t>
    <phoneticPr fontId="1" type="noConversion"/>
  </si>
  <si>
    <t>C_0603_Samsung_MLCC_25V_0.47u</t>
    <phoneticPr fontId="1" type="noConversion"/>
  </si>
  <si>
    <t>0.47µF ±10% 25V 陶瓷電容 X7R 0603 (公制 1608)</t>
    <phoneticPr fontId="1" type="noConversion"/>
  </si>
  <si>
    <t>RS485 to Uart， 半雙工， 8-SOIC</t>
    <phoneticPr fontId="1" type="noConversion"/>
  </si>
  <si>
    <t>MOS</t>
    <phoneticPr fontId="1" type="noConversion"/>
  </si>
  <si>
    <t>MOS</t>
    <phoneticPr fontId="1" type="noConversion"/>
  </si>
  <si>
    <t xml:space="preserve">N 通道 30V 1.2 A (Ta) Vgs=1V,  540mW (Ta) </t>
    <phoneticPr fontId="1" type="noConversion"/>
  </si>
  <si>
    <t>C_0603_Samsung_MLCC_25V_1u</t>
    <phoneticPr fontId="1" type="noConversion"/>
  </si>
  <si>
    <t>1µF ±10% 25V 陶瓷電容 X5R 0603 (公制 1608)</t>
  </si>
  <si>
    <t>C_0805_Samsung_MLCC_35V_4.7u</t>
    <phoneticPr fontId="1" type="noConversion"/>
  </si>
  <si>
    <t xml:space="preserve">4.7µF ±10% 35V 陶瓷電容 X5R 0805 (公制 2012)	</t>
    <phoneticPr fontId="1" type="noConversion"/>
  </si>
  <si>
    <t>-12V, dropout &lt; 1V, 1.8A, fix</t>
    <phoneticPr fontId="1" type="noConversion"/>
  </si>
  <si>
    <t>LDO_SOT-223-4_Diodes_ZLDO1117_fix</t>
    <phoneticPr fontId="1" type="noConversion"/>
  </si>
  <si>
    <t>+5V, dropout &lt; 1.35V, 1A, fix</t>
    <phoneticPr fontId="1" type="noConversion"/>
  </si>
  <si>
    <t>-5V, dropout &lt; 1.4V, 1.5A, fix</t>
    <phoneticPr fontId="1" type="noConversion"/>
  </si>
  <si>
    <t>opa, 比較器</t>
    <phoneticPr fontId="1" type="noConversion"/>
  </si>
  <si>
    <t>比較器 一般用途 CMOS、DTL、ECL、MOS、開路集電極、TTL 8-SOIC</t>
    <phoneticPr fontId="1" type="noConversion"/>
  </si>
  <si>
    <t>CON</t>
    <phoneticPr fontId="1" type="noConversion"/>
  </si>
  <si>
    <t>connector</t>
    <phoneticPr fontId="1" type="noConversion"/>
  </si>
  <si>
    <t>CON</t>
    <phoneticPr fontId="1" type="noConversion"/>
  </si>
  <si>
    <t>IMU</t>
    <phoneticPr fontId="1" type="noConversion"/>
  </si>
  <si>
    <t>12V 電池輸入連接</t>
    <phoneticPr fontId="1" type="noConversion"/>
  </si>
  <si>
    <t>CON_2.1x5.5mm_POWERJACK_SMD</t>
    <phoneticPr fontId="1" type="noConversion"/>
  </si>
  <si>
    <t>CON_2.54mm_terminalBlock_2P</t>
    <phoneticPr fontId="1" type="noConversion"/>
  </si>
  <si>
    <t>2 端子台 - 線對板 水平、帶板 0.100" (2.54mm) 通孔式</t>
    <phoneticPr fontId="1" type="noConversion"/>
  </si>
  <si>
    <t>CON_2.54mm_terminalBlock_3P</t>
    <phoneticPr fontId="1" type="noConversion"/>
  </si>
  <si>
    <t>3 端子台 - 線對板 水平、帶板 0.100" (2.54mm) 通孔式</t>
    <phoneticPr fontId="1" type="noConversion"/>
  </si>
  <si>
    <t>Project Name:</t>
    <phoneticPr fontId="1" type="noConversion"/>
  </si>
  <si>
    <t>USAGE</t>
    <phoneticPr fontId="1" type="noConversion"/>
  </si>
  <si>
    <t>COST</t>
    <phoneticPr fontId="1" type="noConversion"/>
  </si>
  <si>
    <t>TOTAL</t>
    <phoneticPr fontId="1" type="noConversion"/>
  </si>
  <si>
    <t>下拉式選單定義</t>
    <phoneticPr fontId="1" type="noConversion"/>
  </si>
  <si>
    <t>IMU</t>
    <phoneticPr fontId="1" type="noConversion"/>
  </si>
  <si>
    <t>R_0603_Rohm_1%_2.7k</t>
    <phoneticPr fontId="1" type="noConversion"/>
  </si>
  <si>
    <t>R_0603_Yageo_1%_13k</t>
    <phoneticPr fontId="1" type="noConversion"/>
  </si>
  <si>
    <t>MUX</t>
    <phoneticPr fontId="1" type="noConversion"/>
  </si>
  <si>
    <t>mux, switch…</t>
    <phoneticPr fontId="1" type="noConversion"/>
  </si>
  <si>
    <t>MUX_SC-70-6_SPDTx1_TS5A9411</t>
    <phoneticPr fontId="1" type="noConversion"/>
  </si>
  <si>
    <t>MUX</t>
    <phoneticPr fontId="1" type="noConversion"/>
  </si>
  <si>
    <t xml:space="preserve">	1 電路 IC 開關 2：1 9Ohm SC-70-6</t>
    <phoneticPr fontId="1" type="noConversion"/>
  </si>
  <si>
    <t xml:space="preserve">	2.7 kOhms ±1% 0.25W、1/4W 晶片電阻 0603 (公制 1608)</t>
    <phoneticPr fontId="1" type="noConversion"/>
  </si>
  <si>
    <t>13 kOhms ±0.1% 0.1W、1/10W 晶片電阻 0603</t>
    <phoneticPr fontId="1" type="noConversion"/>
  </si>
  <si>
    <t>C_0805_Samsung_MLCC_25V_10u</t>
    <phoneticPr fontId="1" type="noConversion"/>
  </si>
  <si>
    <t>EVB_Arduino_Nano33-iot</t>
    <phoneticPr fontId="1" type="noConversion"/>
  </si>
  <si>
    <t>IMU</t>
    <phoneticPr fontId="1" type="noConversion"/>
  </si>
  <si>
    <t>ATSAMD21G18A Arduino Nano 33 IoT SAM D ARM® Cortex®-M0+ MCU 32-位元</t>
    <phoneticPr fontId="1" type="noConversion"/>
  </si>
  <si>
    <t>EVB_HC-05</t>
    <phoneticPr fontId="1" type="noConversion"/>
  </si>
  <si>
    <t>藍芽模組 HC-05</t>
    <phoneticPr fontId="1" type="noConversion"/>
  </si>
  <si>
    <t>R_0603_Rohm_1%_1k</t>
    <phoneticPr fontId="1" type="noConversion"/>
  </si>
  <si>
    <t>R_0603_TE_1%_120</t>
    <phoneticPr fontId="1" type="noConversion"/>
  </si>
  <si>
    <t>R_0603_Rohm_1%_10k</t>
    <phoneticPr fontId="1" type="noConversion"/>
  </si>
  <si>
    <t xml:space="preserve">	1 kOhms ±1% 0.25W、1/4W 晶片電阻 0603 (公制 1608) </t>
    <phoneticPr fontId="1" type="noConversion"/>
  </si>
  <si>
    <t>10 kOhms ±1% 0.25W、1/4W 晶片電阻 0603 (公制 1608)</t>
    <phoneticPr fontId="1" type="noConversion"/>
  </si>
  <si>
    <t>120 Ohms ±1% 0.1W、1/10W 晶片電阻 0603 (公制 1608)</t>
    <phoneticPr fontId="1" type="noConversion"/>
  </si>
  <si>
    <t>VR_3296W_Bourns_10k</t>
    <phoneticPr fontId="1" type="noConversion"/>
  </si>
  <si>
    <t>VR</t>
    <phoneticPr fontId="1" type="noConversion"/>
  </si>
  <si>
    <t xml:space="preserve">	10 kOhms 0.5W、1/2W PC 針腳 通孔式 微調器電位器</t>
    <phoneticPr fontId="1" type="noConversion"/>
  </si>
  <si>
    <t>LED</t>
    <phoneticPr fontId="1" type="noConversion"/>
  </si>
  <si>
    <t>LED_0603_Rohm_Green_SMD</t>
    <phoneticPr fontId="1" type="noConversion"/>
  </si>
  <si>
    <t xml:space="preserve">	綠 LED 指示燈 - 離散 2.2V 0603 (公制 1608)</t>
    <phoneticPr fontId="1" type="noConversion"/>
  </si>
  <si>
    <t>R_0603_Panasonic_5%_240</t>
    <phoneticPr fontId="1" type="noConversion"/>
  </si>
  <si>
    <t>240 Ohms ±5% 0.25W、1/4W 晶片電阻 0603 (公制 1608)</t>
    <phoneticPr fontId="1" type="noConversion"/>
  </si>
  <si>
    <t>R_0805_Vishay_0</t>
    <phoneticPr fontId="1" type="noConversion"/>
  </si>
  <si>
    <t>OP_SO8_ON-Semi_LM2903</t>
    <phoneticPr fontId="1" type="noConversion"/>
  </si>
  <si>
    <t>OP_SO8_TI_SE555</t>
    <phoneticPr fontId="1" type="noConversion"/>
  </si>
  <si>
    <t xml:space="preserve">	555 型、計時器／振盪器 (單) IC 100kHz 8-SOIC</t>
    <phoneticPr fontId="1" type="noConversion"/>
  </si>
  <si>
    <t>D_SOT23-3_Diodes_Schottky_BAT721S</t>
    <phoneticPr fontId="1" type="noConversion"/>
  </si>
  <si>
    <t>二極體陣列 1 對串聯 肖特基 40V 200mA (DC) 表面黏著式 TO-236-3、SC-59、SOT-23-3</t>
    <phoneticPr fontId="1" type="noConversion"/>
  </si>
  <si>
    <t xml:space="preserve"> 0 Ohms 跳線器 0.5W、1/2W 晶片電阻 0805 (公制 2012)</t>
    <phoneticPr fontId="1" type="noConversion"/>
  </si>
  <si>
    <t>R_0603_Panasonic_1%_7.5k</t>
    <phoneticPr fontId="1" type="noConversion"/>
  </si>
  <si>
    <t>R_0603_TE_1%_27k</t>
    <phoneticPr fontId="1" type="noConversion"/>
  </si>
  <si>
    <t xml:space="preserve">	7.5 kOhms ±1% 0.25W、1/4W 晶片電阻 0603 (公制 1608) </t>
    <phoneticPr fontId="1" type="noConversion"/>
  </si>
  <si>
    <t xml:space="preserve">	27 kOhms ±1% 0.25W、1/4W 晶片電阻 0603 (公制 1608)</t>
    <phoneticPr fontId="1" type="noConversion"/>
  </si>
  <si>
    <t>SER_SO8_ST_ST3485</t>
    <phoneticPr fontId="1" type="noConversion"/>
  </si>
  <si>
    <t>收發器 1/1 RS422、RS485 半 8-SO, MAX3485替代品</t>
    <phoneticPr fontId="1" type="noConversion"/>
  </si>
  <si>
    <t>D_SMA_Comchip_Schottky_CDBA340</t>
    <phoneticPr fontId="1" type="noConversion"/>
  </si>
  <si>
    <t>二極體 肖特基 40V 3A 表面黏著式 DO-214AC (SMA), D_SMA_Diodes_Schottky_B340A替代品</t>
    <phoneticPr fontId="1" type="noConversion"/>
  </si>
  <si>
    <t>鉭聚合物電容 330µF 20V 2924 (公制 7361) 100mOhm @ 100kHz 鑄模式</t>
    <phoneticPr fontId="1" type="noConversion"/>
  </si>
  <si>
    <t>PCB</t>
    <phoneticPr fontId="1" type="noConversion"/>
  </si>
  <si>
    <t>PCB_IMU_V1</t>
    <phoneticPr fontId="1" type="noConversion"/>
  </si>
  <si>
    <t>IMU_V1 PCB 空板</t>
    <phoneticPr fontId="1" type="noConversion"/>
  </si>
  <si>
    <t>14 位元類比數位轉換器 2 輸入 2 帶管線的 64-QFN (9x9)</t>
    <phoneticPr fontId="1" type="noConversion"/>
  </si>
  <si>
    <t xml:space="preserve">	16 位元數位類比轉換器 2 72-LFCSP-VQ (10x10)</t>
    <phoneticPr fontId="1" type="noConversion"/>
  </si>
  <si>
    <t>LDO_TO-263-8_AD_LT3091HR</t>
    <phoneticPr fontId="1" type="noConversion"/>
  </si>
  <si>
    <t>negative, 1.5A, dropout&lt;0.525V,  7-DDPAK, 可調式</t>
    <phoneticPr fontId="1" type="noConversion"/>
  </si>
  <si>
    <t>SENSOR</t>
    <phoneticPr fontId="1" type="noConversion"/>
  </si>
  <si>
    <t>溫度計、加速度計、磁力計….</t>
    <phoneticPr fontId="1" type="noConversion"/>
  </si>
  <si>
    <t>SENSOR_SOT23-5_MAXIM_TEMP_DS1775R</t>
    <phoneticPr fontId="1" type="noConversion"/>
  </si>
  <si>
    <t>SER_SO16_TI_MAX3232</t>
    <phoneticPr fontId="1" type="noConversion"/>
  </si>
  <si>
    <t>INSTOCK</t>
    <phoneticPr fontId="1" type="noConversion"/>
  </si>
  <si>
    <t>USAGE
(IMU)</t>
    <phoneticPr fontId="1" type="noConversion"/>
  </si>
  <si>
    <t>level shifter, Schmitt_trigger</t>
    <phoneticPr fontId="1" type="noConversion"/>
  </si>
  <si>
    <t>LS_SC-70-5_TI_SN74AUP1T17</t>
    <phoneticPr fontId="1" type="noConversion"/>
  </si>
  <si>
    <t>緩衝器、Schmitt_trigger、非逆變 1 元件 1 每元件位元 推挽式 Output SC-70-5</t>
    <phoneticPr fontId="1" type="noConversion"/>
  </si>
  <si>
    <t>USE</t>
    <phoneticPr fontId="1" type="noConversion"/>
  </si>
  <si>
    <t>LDO_TO-263-3_STM_L7905C</t>
    <phoneticPr fontId="1" type="noConversion"/>
  </si>
  <si>
    <t>#row</t>
    <phoneticPr fontId="1" type="noConversion"/>
  </si>
  <si>
    <t>FPGA</t>
    <phoneticPr fontId="1" type="noConversion"/>
  </si>
  <si>
    <t>ADC_QFN-64_AD_14bit_LTC2145</t>
    <phoneticPr fontId="1" type="noConversion"/>
  </si>
  <si>
    <t>DAC_LFCSP-72_AD_16bit_AD9747</t>
    <phoneticPr fontId="1" type="noConversion"/>
  </si>
  <si>
    <t>FPGA_BGA-484_ALTERA_EP4CE40</t>
    <phoneticPr fontId="1" type="noConversion"/>
  </si>
  <si>
    <t>Cyclone® IV E Field Programmable Gate Array (FPGA) IC 328 1161216 39600 484-BGA</t>
    <phoneticPr fontId="1" type="noConversion"/>
  </si>
  <si>
    <t>MEM</t>
    <phoneticPr fontId="1" type="noConversion"/>
  </si>
  <si>
    <t>memory: ddr, sdram….</t>
    <phoneticPr fontId="1" type="noConversion"/>
  </si>
  <si>
    <t>FPGA_BGA-256_ALTERA_EP4CE15</t>
    <phoneticPr fontId="1" type="noConversion"/>
  </si>
  <si>
    <t xml:space="preserve">	Cyclone® IV E Field Programmable Gate Array (FPGA) IC 165 516096 15408 256-TFBGA</t>
    <phoneticPr fontId="1" type="noConversion"/>
  </si>
  <si>
    <t>FPGA_MBGA-256_ALTERA_EP4CE15</t>
    <phoneticPr fontId="1" type="noConversion"/>
  </si>
  <si>
    <t xml:space="preserve">	Cyclone® IV E Field Programmable Gate Array (FPGA) IC 165 516096 15408 256-LBGA</t>
    <phoneticPr fontId="1" type="noConversion"/>
  </si>
  <si>
    <t>SDRAM - 行動 LPSDR 記憶體 IC 512Mb (32M x 16) 並行 166MHz 5ns 54-VFBGA (8x8)</t>
    <phoneticPr fontId="1" type="noConversion"/>
  </si>
  <si>
    <t>MEM_FBGA-54_MICRON_SDRAM_512Mb</t>
    <phoneticPr fontId="1" type="noConversion"/>
  </si>
  <si>
    <t>MEM_SO8_INTEL_EPCQ_64Mb</t>
    <phoneticPr fontId="1" type="noConversion"/>
  </si>
  <si>
    <t>EPCQ, 64Mb</t>
    <phoneticPr fontId="1" type="noConversion"/>
  </si>
  <si>
    <t>ASSI_SPEC</t>
    <phoneticPr fontId="1" type="noConversion"/>
  </si>
  <si>
    <t>CON_1mm_11p_BoardConn_F</t>
    <phoneticPr fontId="1" type="noConversion"/>
  </si>
  <si>
    <t>CON_1mm_11p_BoardConn_M</t>
    <phoneticPr fontId="1" type="noConversion"/>
  </si>
  <si>
    <t>板對板連接器，pitch 1mm，11P，0.5A，母</t>
    <phoneticPr fontId="1" type="noConversion"/>
  </si>
  <si>
    <t>板對板連接器，pitch 1mm，11P，0.5A，公</t>
    <phoneticPr fontId="1" type="noConversion"/>
  </si>
  <si>
    <t>CONN_2.54mm_10p_JTAG</t>
    <phoneticPr fontId="1" type="noConversion"/>
  </si>
  <si>
    <t>C_0201_MURATA_MLCC_10V_0.1u</t>
    <phoneticPr fontId="1" type="noConversion"/>
  </si>
  <si>
    <t>0.1µF ±10% 10V 陶瓷電容 X6S 0201 (公制 0603)</t>
    <phoneticPr fontId="1" type="noConversion"/>
  </si>
  <si>
    <t>L_0805_Wurth_BEAD_2A</t>
    <phoneticPr fontId="1" type="noConversion"/>
  </si>
  <si>
    <t>600 Ohms @ 100MHz 1 訊號線路 鐵氧體磁珠和晶片 0805 (公制 2012) 2A 150mOhm</t>
    <phoneticPr fontId="1" type="noConversion"/>
  </si>
  <si>
    <t>C_0603_Taiyo_MLCC_25V_2.2u</t>
    <phoneticPr fontId="1" type="noConversion"/>
  </si>
  <si>
    <t>2.2µF ±10% 25V 陶瓷電容 X5R 0603 (公制 1608)</t>
    <phoneticPr fontId="1" type="noConversion"/>
  </si>
  <si>
    <t>R_0603_Yageo_1%_2.2k</t>
    <phoneticPr fontId="1" type="noConversion"/>
  </si>
  <si>
    <t>2.2 kOhms ±1% 0.1W、1/10W 晶片電阻 0603 (公制 1608) 抗濕 厚膜</t>
    <phoneticPr fontId="1" type="noConversion"/>
  </si>
  <si>
    <t>R_0603_Yageo_1%_3.3k</t>
    <phoneticPr fontId="1" type="noConversion"/>
  </si>
  <si>
    <t>3.3 kOhms ±1% 0.1W、1/10W 晶片電阻 0603 (公制 1608) 抗濕 厚膜</t>
    <phoneticPr fontId="1" type="noConversion"/>
  </si>
  <si>
    <t>R_0603_Yageo_1%_39</t>
    <phoneticPr fontId="1" type="noConversion"/>
  </si>
  <si>
    <t xml:space="preserve">	39 Ohms ±1% 0.1W、1/10W 晶片電阻 0603 (公制 1608) 抗濕 厚膜</t>
    <phoneticPr fontId="1" type="noConversion"/>
  </si>
  <si>
    <t>R_0603_Yageo_1%_620</t>
    <phoneticPr fontId="1" type="noConversion"/>
  </si>
  <si>
    <t xml:space="preserve">	620 Ohms ±1% 0.1W、1/10W 晶片電阻 0603 (公制 1608) 抗濕 厚膜</t>
    <phoneticPr fontId="1" type="noConversion"/>
  </si>
  <si>
    <t>CON_PINHEADER_FEMALE_6P_0.3"_90</t>
    <phoneticPr fontId="1" type="noConversion"/>
  </si>
  <si>
    <t>6 位置 插孔 連接器 0.100" (2.54mm) 通孔、直角 金、長(0.3")</t>
    <phoneticPr fontId="1" type="noConversion"/>
  </si>
  <si>
    <t>C_0805_MURATA_MLCC_25V_22u</t>
    <phoneticPr fontId="1" type="noConversion"/>
  </si>
  <si>
    <t>22µF ±20% 25V 陶瓷電容 X5R 0805 (公制 2012)</t>
    <phoneticPr fontId="1" type="noConversion"/>
  </si>
  <si>
    <t>C_0402_MURATA_MLCC_25V_2.2u</t>
    <phoneticPr fontId="1" type="noConversion"/>
  </si>
  <si>
    <t>2.2µF ±20% 25V 陶瓷電容 X6S 0402 (公制 1005)</t>
    <phoneticPr fontId="1" type="noConversion"/>
  </si>
  <si>
    <t>R_0402_Yageo_1%_33</t>
    <phoneticPr fontId="1" type="noConversion"/>
  </si>
  <si>
    <t>33 Ohms ±1% 0.063W、1/16W 晶片電阻 0402 (公制 1005) 抗濕 厚膜</t>
    <phoneticPr fontId="1" type="noConversion"/>
  </si>
  <si>
    <t>C_0402_MURATA_MLCC_25V_0.1u</t>
    <phoneticPr fontId="1" type="noConversion"/>
  </si>
  <si>
    <t xml:space="preserve">	0.1µF ±10% 25V 陶瓷電容 X7R 0402 (公制 1005)</t>
    <phoneticPr fontId="1" type="noConversion"/>
  </si>
  <si>
    <t>2.2µF ±20% 4V 陶瓷電容 X7S 0805, 4個 (公制 2012)</t>
    <phoneticPr fontId="1" type="noConversion"/>
  </si>
  <si>
    <t>C_0805_MURATA_MLCC_x4_4V_2.2u</t>
    <phoneticPr fontId="1" type="noConversion"/>
  </si>
  <si>
    <t>C_0402_MURATA_MLCC_6.3V_10u</t>
    <phoneticPr fontId="1" type="noConversion"/>
  </si>
  <si>
    <t>10µF ±20% 6.3V 陶瓷電容 X5R 0402 (公制 1005)</t>
    <phoneticPr fontId="1" type="noConversion"/>
  </si>
  <si>
    <t>C_0402_MURATA_MLCC_50V_100p</t>
    <phoneticPr fontId="1" type="noConversion"/>
  </si>
  <si>
    <t>100pF ±1% 50V 陶瓷電容 C0G、NP0 0402 (公制 1005)</t>
    <phoneticPr fontId="1" type="noConversion"/>
  </si>
  <si>
    <t>C_0402_MURATA_MLCC_50V_1n</t>
    <phoneticPr fontId="1" type="noConversion"/>
  </si>
  <si>
    <t xml:space="preserve">1000pF ±10% 50V 陶瓷電容 X7R 0402 (公制 1005)	</t>
    <phoneticPr fontId="1" type="noConversion"/>
  </si>
  <si>
    <t>XTAL</t>
    <phoneticPr fontId="1" type="noConversion"/>
  </si>
  <si>
    <t>crystal、oscillator</t>
    <phoneticPr fontId="1" type="noConversion"/>
  </si>
  <si>
    <t>振盪器 XO (標準) 125MHz LVDS 2.25V ~ 3.63V 待機 (關機) 6-SMD、無引線</t>
    <phoneticPr fontId="1" type="noConversion"/>
  </si>
  <si>
    <t>C_0402_MURATA_MLCC_50V_10n</t>
    <phoneticPr fontId="1" type="noConversion"/>
  </si>
  <si>
    <t>10000pF ±10% 50V 陶瓷電容 X7R 0402 (公制 1005)</t>
    <phoneticPr fontId="1" type="noConversion"/>
  </si>
  <si>
    <t>R_0402_Yageo_1%_100</t>
    <phoneticPr fontId="1" type="noConversion"/>
  </si>
  <si>
    <t xml:space="preserve">	100 Ohms ±1% 0.063W、1/16W 晶片電阻 0402 (公制 1005) 薄膜</t>
    <phoneticPr fontId="1" type="noConversion"/>
  </si>
  <si>
    <t>OP_SO8_TI_LMH6612</t>
    <phoneticPr fontId="1" type="noConversion"/>
  </si>
  <si>
    <t xml:space="preserve">	一般用途 放大器 2 個電路 軌對軌 8-SOIC</t>
    <phoneticPr fontId="1" type="noConversion"/>
  </si>
  <si>
    <t>差動 放大器 1 個電路 差動 16-LFCSP-VQ (3x3)</t>
    <phoneticPr fontId="1" type="noConversion"/>
  </si>
  <si>
    <t>OP_VFQFN-16_AD_ADA4932-1</t>
    <phoneticPr fontId="1" type="noConversion"/>
  </si>
  <si>
    <t>R_1206_Stackpole_1%_49.9</t>
    <phoneticPr fontId="1" type="noConversion"/>
  </si>
  <si>
    <t>49.9 Ohms ±1% 0.5W、1/2W 晶片電阻 1206 (公制 3216) 抗硫化、抗濕 薄膜</t>
    <phoneticPr fontId="1" type="noConversion"/>
  </si>
  <si>
    <t>C_0402_MURATA_MLCC_50V_4p</t>
    <phoneticPr fontId="1" type="noConversion"/>
  </si>
  <si>
    <t>4pF ±0.25pF 50V 陶瓷電容 C0G、NP0 0402 (公制 1005)</t>
    <phoneticPr fontId="1" type="noConversion"/>
  </si>
  <si>
    <t>R_0402_Yageo_1%_510</t>
    <phoneticPr fontId="1" type="noConversion"/>
  </si>
  <si>
    <t>510 Ohms ±1% 0.063W、1/16W 晶片電阻 0402 (公制 1005) 抗濕 厚膜</t>
    <phoneticPr fontId="1" type="noConversion"/>
  </si>
  <si>
    <t>C_0402_MURATA_MLCC_50V_10p</t>
    <phoneticPr fontId="1" type="noConversion"/>
  </si>
  <si>
    <t>10pF ±5% 50V 陶瓷電容 C0G、NP0 0402 (公制 1005)</t>
    <phoneticPr fontId="1" type="noConversion"/>
  </si>
  <si>
    <t>R_0402_Yageo_1%_68</t>
    <phoneticPr fontId="1" type="noConversion"/>
  </si>
  <si>
    <t>68 Ohms ±1% 0.063W、1/16W 晶片電阻 0402 (公制 1005) 抗濕 厚膜</t>
    <phoneticPr fontId="1" type="noConversion"/>
  </si>
  <si>
    <t>C_0402_MURATA_MLCC_50V_30p</t>
    <phoneticPr fontId="1" type="noConversion"/>
  </si>
  <si>
    <t>30pF ±2% 50V 陶瓷電容 C0G、NP0 0402 (公制 1005)</t>
    <phoneticPr fontId="1" type="noConversion"/>
  </si>
  <si>
    <t>R_0402_Yageo_1%_10k</t>
    <phoneticPr fontId="1" type="noConversion"/>
  </si>
  <si>
    <t>10 kOhms ±1% 0.063W、1/16W 晶片電阻 0402 (公制 1005) 抗濕 厚膜</t>
    <phoneticPr fontId="1" type="noConversion"/>
  </si>
  <si>
    <t>R_0402_Yageo_1%_49.9</t>
    <phoneticPr fontId="1" type="noConversion"/>
  </si>
  <si>
    <t>49.9 Ohms ±1% 0.063W、1/16W 晶片電阻 0402 (公制 1005) 汽車 AEC-Q200、防潮 厚膜</t>
    <phoneticPr fontId="1" type="noConversion"/>
  </si>
  <si>
    <t>R_0402_Yageo_1%_3k</t>
    <phoneticPr fontId="1" type="noConversion"/>
  </si>
  <si>
    <t>R_0402_Yageo_1%_1k</t>
    <phoneticPr fontId="1" type="noConversion"/>
  </si>
  <si>
    <t>3 kOhms ±1% 0.063W、1/16W 晶片電阻 0402 (公制 1005) 抗濕 厚膜</t>
    <phoneticPr fontId="1" type="noConversion"/>
  </si>
  <si>
    <t>1 kOhms ±1% 0.063W、1/16W 晶片電阻 0402 (公制 1005)  薄膜</t>
    <phoneticPr fontId="1" type="noConversion"/>
  </si>
  <si>
    <t>R_0402_Yageo_1%_287</t>
    <phoneticPr fontId="1" type="noConversion"/>
  </si>
  <si>
    <t>287 Ohms ±1% 0.063W、1/16W 晶片電阻 0402 (公制 1005) 抗濕 厚膜</t>
    <phoneticPr fontId="1" type="noConversion"/>
  </si>
  <si>
    <t>R_0402_Yageo_1%_143</t>
    <phoneticPr fontId="1" type="noConversion"/>
  </si>
  <si>
    <t>143 kOhms ±1% 0.063W、1/16W 晶片電阻 0402 (公制 1005) 抗濕 厚膜</t>
    <phoneticPr fontId="1" type="noConversion"/>
  </si>
  <si>
    <t>R_0402_Yageo_1%_499</t>
    <phoneticPr fontId="1" type="noConversion"/>
  </si>
  <si>
    <t>499 Ohms ±1% 0.063W、1/16W 晶片電阻 0402 (公制 1005) 抗濕 厚膜</t>
    <phoneticPr fontId="1" type="noConversion"/>
  </si>
  <si>
    <t>R_0402_Yageo_1%_357</t>
    <phoneticPr fontId="1" type="noConversion"/>
  </si>
  <si>
    <t>357 Ohms ±1% 0.063W、1/16W 晶片電阻 0402 (公制 1005) 抗濕 厚膜</t>
    <phoneticPr fontId="1" type="noConversion"/>
  </si>
  <si>
    <t>R_0402_Yageo_1%_220</t>
    <phoneticPr fontId="1" type="noConversion"/>
  </si>
  <si>
    <t>220 Ohms ±1% 0.063W、1/16W 晶片電阻 0402 (公制 1005) 汽車 AEC-Q200、防潮 厚膜</t>
    <phoneticPr fontId="1" type="noConversion"/>
  </si>
  <si>
    <t>R_0402_Yageo_1%_715</t>
    <phoneticPr fontId="1" type="noConversion"/>
  </si>
  <si>
    <t>715 Ohms ±1% 0.063W、1/16W 晶片電阻 0402 (公制 1005) 抗濕 厚膜</t>
    <phoneticPr fontId="1" type="noConversion"/>
  </si>
  <si>
    <t>SW_SLIDE_SPDT_SMD</t>
    <phoneticPr fontId="1" type="noConversion"/>
  </si>
  <si>
    <t>SW</t>
    <phoneticPr fontId="1" type="noConversion"/>
  </si>
  <si>
    <t>滑動開關 SPDT 表面黏著式</t>
    <phoneticPr fontId="1" type="noConversion"/>
  </si>
  <si>
    <t>MOS_N_SOT-23-3_ Infineon_IRLML2803_1V_1.2A</t>
    <phoneticPr fontId="1" type="noConversion"/>
  </si>
  <si>
    <t>C_1206_TDK_MLCC_6.3V_100u</t>
    <phoneticPr fontId="1" type="noConversion"/>
  </si>
  <si>
    <t>100µF ±20% 6.3V 陶瓷電容 JB 1206 (公制 3216)</t>
    <phoneticPr fontId="1" type="noConversion"/>
  </si>
  <si>
    <t>C_1206_MURATA_MLCC_6.3V_220u</t>
    <phoneticPr fontId="1" type="noConversion"/>
  </si>
  <si>
    <t>220µF ±20% 6.3V 陶瓷電容 X5R 1206 (公制 3216)</t>
    <phoneticPr fontId="1" type="noConversion"/>
  </si>
  <si>
    <t>miniFOG</t>
    <phoneticPr fontId="1" type="noConversion"/>
  </si>
  <si>
    <t>PCB_IMU_V2</t>
    <phoneticPr fontId="1" type="noConversion"/>
  </si>
  <si>
    <t>IMU_V2 PCB 空板</t>
    <phoneticPr fontId="1" type="noConversion"/>
  </si>
  <si>
    <t>LDO_MSOP-12_AD_LT3065</t>
    <phoneticPr fontId="1" type="noConversion"/>
  </si>
  <si>
    <t>D_SMA_Micro_TVS_SMAJ20CA</t>
    <phoneticPr fontId="1" type="noConversion"/>
  </si>
  <si>
    <t>32.4V 夾接 12.3A Ipp TVS - 二極體 表面黏著式 DO-214AC (SMA)</t>
    <phoneticPr fontId="1" type="noConversion"/>
  </si>
  <si>
    <t>C_0805_MURATA_MLCC_25V_10u</t>
    <phoneticPr fontId="1" type="noConversion"/>
  </si>
  <si>
    <t>10µF ±20% 25V 陶瓷電容 X5R 0805 (公制 2012)</t>
    <phoneticPr fontId="1" type="noConversion"/>
  </si>
  <si>
    <t>SENSOR_DSBGA-4_TI_TEMP_LMT70YFQT</t>
    <phoneticPr fontId="1" type="noConversion"/>
  </si>
  <si>
    <t>溫度感測器 類比、局部 -55°C ~ 150°C 5.194mV/°C 4-DSBGA</t>
    <phoneticPr fontId="1" type="noConversion"/>
  </si>
  <si>
    <t>鉭聚合物電容 470µF 16V 2924 (公制 7361) 100mOhm @ 100kHz 鑄模式</t>
    <phoneticPr fontId="1" type="noConversion"/>
  </si>
  <si>
    <t>PCB_QSS011_SENSOR_P01</t>
    <phoneticPr fontId="1" type="noConversion"/>
  </si>
  <si>
    <t>LOCATION</t>
    <phoneticPr fontId="1" type="noConversion"/>
  </si>
  <si>
    <t>TEMP</t>
    <phoneticPr fontId="1" type="noConversion"/>
  </si>
  <si>
    <t>D_SOD123_Onsemi_ZENER_15V_MMSZ5245ET1G</t>
    <phoneticPr fontId="1" type="noConversion"/>
  </si>
  <si>
    <t>二極體 - 齊納 15V 500mW ±5% 表面黏著式 SOD-123</t>
    <phoneticPr fontId="1" type="noConversion"/>
  </si>
  <si>
    <t>R_0603_Yageo_1%_47k</t>
    <phoneticPr fontId="1" type="noConversion"/>
  </si>
  <si>
    <t>47 kOhms ±1% 0.1W、1/10W 晶片電阻 0603 (公制 1608) 抗濕 厚膜</t>
    <phoneticPr fontId="1" type="noConversion"/>
  </si>
  <si>
    <t>MOS_SO-8_Vishay_SI4559</t>
    <phoneticPr fontId="1" type="noConversion"/>
  </si>
  <si>
    <t>MOSFET - 陣列 N 和 P 通道 60V 5.3 A、3.9 A 3.1W、3.4W 表面黏著式 8-SOIC</t>
    <phoneticPr fontId="1" type="noConversion"/>
  </si>
  <si>
    <t>R_0402_Yageo_1%_432k</t>
    <phoneticPr fontId="1" type="noConversion"/>
  </si>
  <si>
    <t>R_0402_Yageo_1%_59k</t>
    <phoneticPr fontId="1" type="noConversion"/>
  </si>
  <si>
    <t>432 kOhms ±1% 0.063W、1/16W 晶片電阻 0402 (公制 1005) 抗濕 厚膜</t>
    <phoneticPr fontId="1" type="noConversion"/>
  </si>
  <si>
    <t>59 kOhms ±1% 0.063W、1/16W 晶片電阻 0402 (公制 1005) 抗濕 厚膜</t>
    <phoneticPr fontId="1" type="noConversion"/>
  </si>
  <si>
    <t>R_0402_Yageo_1%_499k</t>
    <phoneticPr fontId="1" type="noConversion"/>
  </si>
  <si>
    <t>499 kOhms ±1% 0.05W、1/20W 晶片電阻 0201 (公制 0603) 抗濕 厚膜</t>
    <phoneticPr fontId="1" type="noConversion"/>
  </si>
  <si>
    <t>C_0402_MURATA_MLCC_50V_22n</t>
    <phoneticPr fontId="1" type="noConversion"/>
  </si>
  <si>
    <t>0.022µF ±10% 50V 陶瓷電容 X7R 0402 (公制 1005)</t>
    <phoneticPr fontId="1" type="noConversion"/>
  </si>
  <si>
    <t>R_0402_Yageo_1%_2k</t>
    <phoneticPr fontId="1" type="noConversion"/>
  </si>
  <si>
    <t>2 kOhms ±1% 0.063W、1/16W 晶片電阻 0402 (公制 1005) 汽車 AEC-Q200、防潮 厚膜</t>
    <phoneticPr fontId="1" type="noConversion"/>
  </si>
  <si>
    <t>R_0402_Yageo_1%_100k</t>
    <phoneticPr fontId="1" type="noConversion"/>
  </si>
  <si>
    <t>100 kOhms ±1% 0.063W、1/16W 晶片電阻 0402 (公制 1005) 汽車 AEC-Q200、防潮 厚膜</t>
    <phoneticPr fontId="1" type="noConversion"/>
  </si>
  <si>
    <t>C_0603_Samsung_MLCC_50V_68n</t>
    <phoneticPr fontId="1" type="noConversion"/>
  </si>
  <si>
    <t>0.068µF ±10% 50V 陶瓷電容 X7R 0603 (公制 1608)</t>
    <phoneticPr fontId="1" type="noConversion"/>
  </si>
  <si>
    <t>R_0402_Yageo_1%_20k</t>
    <phoneticPr fontId="1" type="noConversion"/>
  </si>
  <si>
    <t>20 kOhms ±1% 0.063W、1/16W 晶片電阻 0402 (公制 1005) 抗濕 厚膜</t>
    <phoneticPr fontId="1" type="noConversion"/>
  </si>
  <si>
    <t>LDO_VDFN-8_TI_TPS73512DRBT</t>
    <phoneticPr fontId="1" type="noConversion"/>
  </si>
  <si>
    <t>LDO_VDFN-8_TI_TPS73533DRBT</t>
    <phoneticPr fontId="1" type="noConversion"/>
  </si>
  <si>
    <t>LDO_VDFN-8_TI_TPS73718DRBR</t>
    <phoneticPr fontId="1" type="noConversion"/>
  </si>
  <si>
    <t>C_2312_AVX_TANT_25V_10u</t>
    <phoneticPr fontId="1" type="noConversion"/>
  </si>
  <si>
    <t>PMIC - 穩壓器 - 線性 正 固定型 1 輸出, 2.5V,  500mA 8-SON (3x3)</t>
    <phoneticPr fontId="1" type="noConversion"/>
  </si>
  <si>
    <t>PMIC - 穩壓器 - 線性 正 固定型 1 輸出, 1.2V,  500mA 8-SON (3x3)</t>
    <phoneticPr fontId="1" type="noConversion"/>
  </si>
  <si>
    <t>PMIC - 穩壓器 - 線性 正 固定型 1 輸出, 3.3V,  500mA 8-SON (3x3)</t>
    <phoneticPr fontId="1" type="noConversion"/>
  </si>
  <si>
    <t>PMIC - 穩壓器 - 線性 正 固定型 1 輸出, 1.8V,  1A 8-SON (3x3)</t>
    <phoneticPr fontId="1" type="noConversion"/>
  </si>
  <si>
    <t>R_2512_TE_5%_3W_1</t>
    <phoneticPr fontId="1" type="noConversion"/>
  </si>
  <si>
    <t>R_2512_TE_5%_3W_2.2</t>
    <phoneticPr fontId="1" type="noConversion"/>
  </si>
  <si>
    <t>R_2512_TE_5%_3W_3.3</t>
    <phoneticPr fontId="1" type="noConversion"/>
  </si>
  <si>
    <t>R_2512_TE_5%_3W_4.7</t>
    <phoneticPr fontId="1" type="noConversion"/>
  </si>
  <si>
    <t>1 Ohms ±5% 3W 晶片電阻 2512 (公制 6432) 汽車AEC-Q200 厚膜</t>
    <phoneticPr fontId="1" type="noConversion"/>
  </si>
  <si>
    <t>2.2 Ohms ±5% 3W 晶片電阻 2512 (公制 6432) 汽車AEC-Q200 厚膜</t>
    <phoneticPr fontId="1" type="noConversion"/>
  </si>
  <si>
    <t>3.3 Ohms ±5% 3W 晶片電阻 2512 (公制 6432) 汽車AEC-Q200 厚膜</t>
    <phoneticPr fontId="1" type="noConversion"/>
  </si>
  <si>
    <t>4.7 Ohms ±5% 3W 晶片電阻 2512 (公制 6432) 汽車AEC-Q200 厚膜</t>
    <phoneticPr fontId="1" type="noConversion"/>
  </si>
  <si>
    <t>溫度感測器 數位、局部 -55°C ~ 125°C 11 b, I2C,  SOT-23-5</t>
    <phoneticPr fontId="1" type="noConversion"/>
  </si>
  <si>
    <t>D_SOD123_Onsemi_ZENER_3.9V_SZMMSZ5228BT1G</t>
    <phoneticPr fontId="1" type="noConversion"/>
  </si>
  <si>
    <t>二極體 - 齊納 3.9V 500mW ±5% 表面黏著式 SOD-123</t>
    <phoneticPr fontId="1" type="noConversion"/>
  </si>
  <si>
    <t>D_SOD123_Onsemi_ZENER_5.6V_SZMMSZ5228BT1G</t>
    <phoneticPr fontId="1" type="noConversion"/>
  </si>
  <si>
    <t>二極體 - 齊納 5.6V 500mW ±5% 表面黏著式 SOD-123</t>
    <phoneticPr fontId="1" type="noConversion"/>
  </si>
  <si>
    <t>F_1206_Littelfuse_PTC_8V_1.5A_1206L150THWR</t>
    <phoneticPr fontId="1" type="noConversion"/>
  </si>
  <si>
    <t>F</t>
    <phoneticPr fontId="1" type="noConversion"/>
  </si>
  <si>
    <t>FUSE</t>
    <phoneticPr fontId="1" type="noConversion"/>
  </si>
  <si>
    <t>PTC 自復式保險絲 8V 1.5A Ih 表面黏著式 1206 (公制 3216)、凹 聚合型</t>
    <phoneticPr fontId="1" type="noConversion"/>
  </si>
  <si>
    <t>CON_2.54mm_14P_90_牛角公座</t>
    <phoneticPr fontId="1" type="noConversion"/>
  </si>
  <si>
    <t>連接器排針座 通孔、直角 14 位置 0.100" (2.54mm)</t>
    <phoneticPr fontId="1" type="noConversion"/>
  </si>
  <si>
    <t>POW_24-LFCSP-WQ_AD_ADP2384ACPZN-R7</t>
    <phoneticPr fontId="1" type="noConversion"/>
  </si>
  <si>
    <t>L_10.8x10.16_Vishay_10A_3.3u</t>
    <phoneticPr fontId="1" type="noConversion"/>
  </si>
  <si>
    <t>L_10.8x10.16_Vishay_9.5A_4.7u</t>
    <phoneticPr fontId="1" type="noConversion"/>
  </si>
  <si>
    <t>L_10.8x10.16_Vishay_8A_6.8u</t>
    <phoneticPr fontId="1" type="noConversion"/>
  </si>
  <si>
    <t>3.3µH 屏蔽型 鑄模式 電感器 10A 14.4mOhm 最大 非標準</t>
    <phoneticPr fontId="1" type="noConversion"/>
  </si>
  <si>
    <t>4.7µH 屏蔽型 鑄模式 電感器 9.5A 16.5mOhm 最大 非標準</t>
    <phoneticPr fontId="1" type="noConversion"/>
  </si>
  <si>
    <t>6.8µH 屏蔽型 鑄模式 電感器 8A 23.3mOhm 最大 非標準</t>
    <phoneticPr fontId="1" type="noConversion"/>
  </si>
  <si>
    <t>C_0402_MURATA_MLCC_25V_1u</t>
    <phoneticPr fontId="1" type="noConversion"/>
  </si>
  <si>
    <t>1µF ±20% 25V 陶瓷電容 X5R 0402 (公制 1005)</t>
    <phoneticPr fontId="1" type="noConversion"/>
  </si>
  <si>
    <t>C_0402_MURATA_MLCC_25V_33n</t>
    <phoneticPr fontId="1" type="noConversion"/>
  </si>
  <si>
    <t>0.033µF ±10% 25V 陶瓷電容 X7R 0402 (公制 1005)</t>
    <phoneticPr fontId="1" type="noConversion"/>
  </si>
  <si>
    <t>C_0402_MURATA_MLCC_16V_3.3n</t>
    <phoneticPr fontId="1" type="noConversion"/>
  </si>
  <si>
    <t>C_0402_MURATA_MLCC_25V_100p</t>
    <phoneticPr fontId="1" type="noConversion"/>
  </si>
  <si>
    <t>3300pF ±10% 16V 陶瓷電容 X7R 0402 (公制 1005)</t>
    <phoneticPr fontId="1" type="noConversion"/>
  </si>
  <si>
    <t>100pF ±5% 25V 陶瓷電容 C0G、NP0 0402 (公制 1005)</t>
    <phoneticPr fontId="1" type="noConversion"/>
  </si>
  <si>
    <t>C_0402_MURATA_MLCC_50V_68p</t>
    <phoneticPr fontId="1" type="noConversion"/>
  </si>
  <si>
    <t>68pF ±5% 50V 陶瓷電容 C0G、NP0 0402 (公制 1005)</t>
    <phoneticPr fontId="1" type="noConversion"/>
  </si>
  <si>
    <t>C_0402_MURATA_MLCC_50V_8.2p</t>
    <phoneticPr fontId="1" type="noConversion"/>
  </si>
  <si>
    <t>8.2pF ±0.5pF 50V 陶瓷電容 C0G、NP0 0402 (公制 1005)</t>
    <phoneticPr fontId="1" type="noConversion"/>
  </si>
  <si>
    <t>C_2917_Panasonic_TANT _4V_680u</t>
    <phoneticPr fontId="1" type="noConversion"/>
  </si>
  <si>
    <t>C_2917_KEMET_TANT _6.3V_470u</t>
    <phoneticPr fontId="1" type="noConversion"/>
  </si>
  <si>
    <t>鉭聚合物電容 680µF 4V 2917 (公制 7343) 10mOhm @ 100kHz 鑄模式</t>
    <phoneticPr fontId="1" type="noConversion"/>
  </si>
  <si>
    <t>鉭聚合物電容 470µF 6.3V 2917 (公制 7343) 15mOhm @ 100kHz 鑄模式</t>
    <phoneticPr fontId="1" type="noConversion"/>
  </si>
  <si>
    <t>R_0402_Yageo_1%_215k</t>
    <phoneticPr fontId="1" type="noConversion"/>
  </si>
  <si>
    <t>215 kOhms ±1% 0.063W、1/16W 晶片電阻 0402 (公制 1005) 抗濕 厚膜</t>
    <phoneticPr fontId="1" type="noConversion"/>
  </si>
  <si>
    <t>R_0402_Yageo_1%_60.4k</t>
    <phoneticPr fontId="1" type="noConversion"/>
  </si>
  <si>
    <t>R_0402_Yageo_1%_29.4k</t>
    <phoneticPr fontId="1" type="noConversion"/>
  </si>
  <si>
    <t>60.4 kOhms ±1% 0.063W、1/16W 晶片電阻 0402 (公制 1005) 抗濕 厚膜</t>
    <phoneticPr fontId="1" type="noConversion"/>
  </si>
  <si>
    <t>29.4 kOhms ±1% 0.063W、1/16W 晶片電阻 0402 (公制 1005) 抗濕 厚膜</t>
    <phoneticPr fontId="1" type="noConversion"/>
  </si>
  <si>
    <t>R_0402_Yageo_1%_2.21k</t>
    <phoneticPr fontId="1" type="noConversion"/>
  </si>
  <si>
    <t>2.21 kOhms ±1% 0.063W、1/16W 晶片電阻 0402 (公制 1005) 抗濕 厚膜</t>
    <phoneticPr fontId="1" type="noConversion"/>
  </si>
  <si>
    <t>降壓 切換式穩壓器 IC 正 可調式 0.6V 1 輸出 4A 24-WFQFN 裸焊盤、CSP</t>
    <phoneticPr fontId="1" type="noConversion"/>
  </si>
  <si>
    <t>CON_DIP8_SOCKET</t>
    <phoneticPr fontId="1" type="noConversion"/>
  </si>
  <si>
    <t>8 (2 x 4) 位置 DIP、0.3" (7.62mm) 列間距 插座 錫 通孔式</t>
    <phoneticPr fontId="1" type="noConversion"/>
  </si>
  <si>
    <t>CON_2.54mm_20P_90_牛角公座</t>
    <phoneticPr fontId="1" type="noConversion"/>
  </si>
  <si>
    <t>連接器排針座 通孔、直角 20 位置 0.100" (2.54mm)</t>
    <phoneticPr fontId="1" type="noConversion"/>
  </si>
  <si>
    <t>LS_SOT23-5_TI_DSLVDS1001DBVT</t>
    <phoneticPr fontId="1" type="noConversion"/>
  </si>
  <si>
    <t>201/08/28</t>
    <phoneticPr fontId="1" type="noConversion"/>
  </si>
  <si>
    <t>驅動器 1/0 LVDS  SOT-23-5</t>
    <phoneticPr fontId="1" type="noConversion"/>
  </si>
  <si>
    <t>CON_2.54mm_10P_90_牛角公座</t>
    <phoneticPr fontId="1" type="noConversion"/>
  </si>
  <si>
    <t>連接器排針座 通孔、直角 10 位置 0.100" (2.54mm)</t>
    <phoneticPr fontId="1" type="noConversion"/>
  </si>
  <si>
    <t>R_0402_Yageo_1%_24.9</t>
    <phoneticPr fontId="1" type="noConversion"/>
  </si>
  <si>
    <t>R_0402_Yageo_1%_4.7k</t>
    <phoneticPr fontId="1" type="noConversion"/>
  </si>
  <si>
    <t>24.9 Ohms ±1% 0.063W、1/16W 晶片電阻 0402 (公制 1005) 抗濕 厚膜</t>
    <phoneticPr fontId="1" type="noConversion"/>
  </si>
  <si>
    <t>4.7 kOhms ±1% 0.2W、1/5W 晶片電阻 0402 (公制 1005) 汽車 AEC-Q200、耐脈衝 厚膜</t>
    <phoneticPr fontId="1" type="noConversion"/>
  </si>
  <si>
    <t>SPARROW_Main</t>
  </si>
  <si>
    <t>SPARROW_Main</t>
    <phoneticPr fontId="1" type="noConversion"/>
  </si>
  <si>
    <t>QSS011 SPARROW_Main 1 用</t>
  </si>
  <si>
    <t>LDO_DFN-14_AD_LT3091EDE</t>
    <phoneticPr fontId="1" type="noConversion"/>
  </si>
  <si>
    <t>PMIC - 穩壓器 - 線性 負 可調式 1 輸出  1.5A, dropout&lt;0.45V, 14-DFN (4x3)</t>
    <phoneticPr fontId="1" type="noConversion"/>
  </si>
  <si>
    <t>R_0805_Vishay_1%_4k</t>
    <phoneticPr fontId="1" type="noConversion"/>
  </si>
  <si>
    <t>4 kOhms ±1% 0.125W、1/8W 晶片電阻 0805 (公制 2012) 汽車AEC-Q200 厚膜</t>
    <phoneticPr fontId="1" type="noConversion"/>
  </si>
  <si>
    <t>FPGA_BGA-256_ALTERA_EP4CE22</t>
    <phoneticPr fontId="1" type="noConversion"/>
  </si>
  <si>
    <t>Cyclone® IV E Field Programmable Gate Array (FPGA) IC 153 608256 22320 256-LBGA</t>
    <phoneticPr fontId="1" type="noConversion"/>
  </si>
  <si>
    <t>MEM_FBGA-54_MICRON_SDRAM_128Mb</t>
    <phoneticPr fontId="1" type="noConversion"/>
  </si>
  <si>
    <t>MEM_SO8_INTEL_EPCQ_16Mb</t>
    <phoneticPr fontId="1" type="noConversion"/>
  </si>
  <si>
    <t>IC CONFIG DEVICE 16MBIT 8SOIC</t>
    <phoneticPr fontId="1" type="noConversion"/>
  </si>
  <si>
    <t>MEM_SO8_Alliance_NORFLASH_N25Q032A13ESC40F</t>
    <phoneticPr fontId="1" type="noConversion"/>
  </si>
  <si>
    <t>A1-1</t>
    <phoneticPr fontId="1" type="noConversion"/>
  </si>
  <si>
    <t>A1-2</t>
    <phoneticPr fontId="1" type="noConversion"/>
  </si>
  <si>
    <t>A2-1</t>
    <phoneticPr fontId="1" type="noConversion"/>
  </si>
  <si>
    <t>A3-1</t>
    <phoneticPr fontId="1" type="noConversion"/>
  </si>
  <si>
    <t>C1-1</t>
    <phoneticPr fontId="1" type="noConversion"/>
  </si>
  <si>
    <t>C1-2</t>
    <phoneticPr fontId="1" type="noConversion"/>
  </si>
  <si>
    <t>C2-1</t>
    <phoneticPr fontId="1" type="noConversion"/>
  </si>
  <si>
    <t>C2-2</t>
    <phoneticPr fontId="1" type="noConversion"/>
  </si>
  <si>
    <t>C3-1</t>
    <phoneticPr fontId="1" type="noConversion"/>
  </si>
  <si>
    <t>C3-2</t>
    <phoneticPr fontId="1" type="noConversion"/>
  </si>
  <si>
    <t>B1-1</t>
    <phoneticPr fontId="1" type="noConversion"/>
  </si>
  <si>
    <t>B2-1</t>
    <phoneticPr fontId="1" type="noConversion"/>
  </si>
  <si>
    <t>B2-2</t>
    <phoneticPr fontId="1" type="noConversion"/>
  </si>
  <si>
    <t>A5</t>
    <phoneticPr fontId="1" type="noConversion"/>
  </si>
  <si>
    <t>D1-1</t>
    <phoneticPr fontId="1" type="noConversion"/>
  </si>
  <si>
    <t>D2-1</t>
    <phoneticPr fontId="1" type="noConversion"/>
  </si>
  <si>
    <t>D3-1</t>
    <phoneticPr fontId="1" type="noConversion"/>
  </si>
  <si>
    <t>D4-1</t>
    <phoneticPr fontId="1" type="noConversion"/>
  </si>
  <si>
    <t>D4-2</t>
    <phoneticPr fontId="1" type="noConversion"/>
  </si>
  <si>
    <t>D1-2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</si>
  <si>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</si>
  <si>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</si>
  <si>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</si>
  <si>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A4-1</t>
    <phoneticPr fontId="1" type="noConversion"/>
  </si>
  <si>
    <t>A3-2</t>
    <phoneticPr fontId="1" type="noConversion"/>
  </si>
  <si>
    <t>B5-1</t>
    <phoneticPr fontId="1" type="noConversion"/>
  </si>
  <si>
    <t>B4-2</t>
    <phoneticPr fontId="1" type="noConversion"/>
  </si>
  <si>
    <t>B5-2</t>
    <phoneticPr fontId="1" type="noConversion"/>
  </si>
  <si>
    <t>B6</t>
    <phoneticPr fontId="1" type="noConversion"/>
  </si>
  <si>
    <t>XTAL_SMD-6_Microchip_25PPM_LVDS_125MHz</t>
    <phoneticPr fontId="1" type="noConversion"/>
  </si>
  <si>
    <t>XTAL_VDFN_Microchip_25PPM_125MHz</t>
    <phoneticPr fontId="1" type="noConversion"/>
  </si>
  <si>
    <t>振盪器 XO (標準) 125MHz CMOS 2.25V ~ 3.6V 啟用／停用 VDFN、無引線</t>
    <phoneticPr fontId="1" type="noConversion"/>
  </si>
  <si>
    <t>MOUSER網頁入料網頁先經過縮網址再填入，否則開啟連結會很慢</t>
    <phoneticPr fontId="1" type="noConversion"/>
  </si>
  <si>
    <t>https://reurl.cc/main/tw</t>
    <phoneticPr fontId="1" type="noConversion"/>
  </si>
  <si>
    <r>
      <t>SDRAM 記憶體 IC 128Mb (8M x 16) 並行 167MHz 5.4ns 54-VFBGA (8x8) (</t>
    </r>
    <r>
      <rPr>
        <sz val="11"/>
        <color rgb="FFFF0000"/>
        <rFont val="新細明體"/>
        <family val="1"/>
        <charset val="136"/>
        <scheme val="minor"/>
      </rPr>
      <t>將停產</t>
    </r>
    <r>
      <rPr>
        <sz val="11"/>
        <color theme="1"/>
        <rFont val="新細明體"/>
        <family val="2"/>
        <scheme val="minor"/>
      </rPr>
      <t>)</t>
    </r>
    <phoneticPr fontId="1" type="noConversion"/>
  </si>
  <si>
    <t>R_0402_Yageo_1%_0</t>
    <phoneticPr fontId="1" type="noConversion"/>
  </si>
  <si>
    <t>0 Ohms 跳線器 0.063W、1/16W 晶片電阻 0402 (公制 1005) 抗濕 厚膜</t>
    <phoneticPr fontId="1" type="noConversion"/>
  </si>
  <si>
    <t>MEM_FBGA-54_Alliance_SDRAM_128Mb</t>
    <phoneticPr fontId="1" type="noConversion"/>
  </si>
  <si>
    <t>MEM_FBGA-54_Alliance_SDRAM_64Mb</t>
    <phoneticPr fontId="1" type="noConversion"/>
  </si>
  <si>
    <t>MEM_FBGA-54_Alliance_SDRAM_256Mb</t>
    <phoneticPr fontId="1" type="noConversion"/>
  </si>
  <si>
    <t>SDRAM 記憶體 IC 64Mb (4M x 16) 並行 166MHz 5.4ns 54-TFBGA (8x8)</t>
    <phoneticPr fontId="1" type="noConversion"/>
  </si>
  <si>
    <t>SDRAM 記憶體 IC 128Mb (8M x 16) 並行 166MHz 5ns 54-TFBGA (8x8)</t>
    <phoneticPr fontId="1" type="noConversion"/>
  </si>
  <si>
    <t>SDRAM 記憶體 IC 256Mb (16M x 16) 並行 166MHz 5ns 54-TFBGA (8x8)</t>
    <phoneticPr fontId="1" type="noConversion"/>
  </si>
  <si>
    <t>FLASH - NOR 記憶體 IC 32Mb (8M x 4) SPI 108MHz  8-SO</t>
    <phoneticPr fontId="1" type="noConversion"/>
  </si>
  <si>
    <t>LDO_3.3V_VDFN-8_ONSEMI_NCV8187AMLE330TCG</t>
    <phoneticPr fontId="1" type="noConversion"/>
  </si>
  <si>
    <t>PMIC - 穩壓器 - 線性 正 固定型 1 輸出  1.2A 8-DFNW (3x3)</t>
    <phoneticPr fontId="1" type="noConversion"/>
  </si>
  <si>
    <t>OP_SO8_AD_AD8529ARZ</t>
    <phoneticPr fontId="1" type="noConversion"/>
  </si>
  <si>
    <t>OP_VFQFN-16_AD_ADA4940-1</t>
    <phoneticPr fontId="1" type="noConversion"/>
  </si>
  <si>
    <t>差動 放大器 1 個電路 差動 16-LFCSP-VQ (3x3) ADA4932替代品</t>
    <phoneticPr fontId="1" type="noConversion"/>
  </si>
  <si>
    <t>LDO_1.8V_VDFN-8_ONSEMI_NCV8187AMLE180TCG</t>
    <phoneticPr fontId="1" type="noConversion"/>
  </si>
  <si>
    <t>OP_SC70-6_TI_INA213</t>
    <phoneticPr fontId="1" type="noConversion"/>
  </si>
  <si>
    <t>電流感應 放大器 1 個電路  SC-70-6, 50倍</t>
    <phoneticPr fontId="1" type="noConversion"/>
  </si>
  <si>
    <t>R_0805_Panasonic_1%_0.5W_0.1</t>
    <phoneticPr fontId="1" type="noConversion"/>
  </si>
  <si>
    <t>100 mOhms ±1% 0.5W、1/2W 晶片電阻 0805 (公制 2012) 汽車 AEC-Q200、電流感測 厚膜</t>
    <phoneticPr fontId="1" type="noConversion"/>
  </si>
  <si>
    <t>A4-2</t>
    <phoneticPr fontId="1" type="noConversion"/>
  </si>
  <si>
    <t>C5-1</t>
    <phoneticPr fontId="1" type="noConversion"/>
  </si>
  <si>
    <t>C5-2</t>
    <phoneticPr fontId="1" type="noConversion"/>
  </si>
  <si>
    <t>B1-2</t>
    <phoneticPr fontId="1" type="noConversion"/>
  </si>
  <si>
    <t>D3-2</t>
    <phoneticPr fontId="1" type="noConversion"/>
  </si>
  <si>
    <t>A2-2</t>
    <phoneticPr fontId="1" type="noConversion"/>
  </si>
  <si>
    <t>A6-1</t>
    <phoneticPr fontId="1" type="noConversion"/>
  </si>
  <si>
    <t>D5-1</t>
    <phoneticPr fontId="1" type="noConversion"/>
  </si>
  <si>
    <t>D5-2</t>
    <phoneticPr fontId="1" type="noConversion"/>
  </si>
  <si>
    <t>C6-1</t>
    <phoneticPr fontId="1" type="noConversion"/>
  </si>
  <si>
    <t>R_0603_Delta _1%_0.5W_0.1</t>
    <phoneticPr fontId="1" type="noConversion"/>
  </si>
  <si>
    <t>100 mOhms ±1% 0.5W、1/2W 晶片電阻 寬 0603 (公制 1608)、0306 電流感應 金屬膜</t>
    <phoneticPr fontId="1" type="noConversion"/>
  </si>
  <si>
    <t>LDO_2.5V_VDFN-8_TI_TPS74625PQWDRBRQ1</t>
    <phoneticPr fontId="1" type="noConversion"/>
  </si>
  <si>
    <t>PMIC - 穩壓器 - 線性 正 固定型 1 輸出  1A, 2.5V 08-SON (3x3)</t>
    <phoneticPr fontId="1" type="noConversion"/>
  </si>
  <si>
    <t>SPARROW_Pwr</t>
  </si>
  <si>
    <t>SPARROW_Pwr</t>
    <phoneticPr fontId="1" type="noConversion"/>
  </si>
  <si>
    <t>USAGE
(SPARROW_Main)</t>
    <phoneticPr fontId="1" type="noConversion"/>
  </si>
  <si>
    <t>USAGE
(SPARROW_Pwr)</t>
    <phoneticPr fontId="1" type="noConversion"/>
  </si>
  <si>
    <r>
      <t xml:space="preserve">	10µF ±10% 25V 陶瓷電容 X5R 0805 (公制 2012) </t>
    </r>
    <r>
      <rPr>
        <sz val="11"/>
        <color rgb="FFFF0000"/>
        <rFont val="新細明體"/>
        <family val="1"/>
        <charset val="136"/>
        <scheme val="minor"/>
      </rPr>
      <t>庫存用完後改買MURATA的</t>
    </r>
    <phoneticPr fontId="1" type="noConversion"/>
  </si>
  <si>
    <t>SPARROW_Main, SPARROW_Pwr</t>
    <phoneticPr fontId="1" type="noConversion"/>
  </si>
  <si>
    <t>PMIC - 穩壓器 - 線性 正 可調式 1 輸出 +5V 500mA, drop&lt;0.5V,  12-MSOP-EP</t>
    <phoneticPr fontId="1" type="noConversion"/>
  </si>
  <si>
    <t>IMU, SPARROW_Main, SPARROW_Pwr</t>
    <phoneticPr fontId="1" type="noConversion"/>
  </si>
  <si>
    <t>鉭質電容 10µF 25V 2312 (公制 6032) 300mOhm</t>
    <phoneticPr fontId="1" type="noConversion"/>
  </si>
  <si>
    <t>OP_VFQFN-16_AD_ADA4927-1</t>
    <phoneticPr fontId="1" type="noConversion"/>
  </si>
  <si>
    <t>電流反饋 放大器 1 個電路 差動 16-LFCSP-VQ (3x3) ADA4932替代品</t>
    <phoneticPr fontId="1" type="noConversion"/>
  </si>
  <si>
    <t xml:space="preserve">一般用途 放大器 2 個電路 軌對軌 8-SOIC </t>
    <phoneticPr fontId="1" type="noConversion"/>
  </si>
  <si>
    <t>4 位置 插孔 連接器 0.079"（2.00mm） 通孔式 金</t>
    <phoneticPr fontId="1" type="noConversion"/>
  </si>
  <si>
    <t>CON_PINHEADER_FEMALE_2mm_4P</t>
    <phoneticPr fontId="1" type="noConversion"/>
  </si>
  <si>
    <t>CON_PINHEADER_MALE_2mm_13P</t>
    <phoneticPr fontId="1" type="noConversion"/>
  </si>
  <si>
    <t>連接器排針座 通孔式 13 位置 0.079"（2.00mm）</t>
    <phoneticPr fontId="1" type="noConversion"/>
  </si>
  <si>
    <t>CON_PINHEADER_FEMALE_2mm_3P</t>
    <phoneticPr fontId="1" type="noConversion"/>
  </si>
  <si>
    <t>3 位置 插孔 連接器 0.079"（2.00mm） 通孔式 金</t>
    <phoneticPr fontId="1" type="noConversion"/>
  </si>
  <si>
    <t>R_0402_Yageo_1%_178</t>
    <phoneticPr fontId="1" type="noConversion"/>
  </si>
  <si>
    <t>R_0402_Yageo_1%_536</t>
    <phoneticPr fontId="1" type="noConversion"/>
  </si>
  <si>
    <t>178 Ohms ±1% 0.063W、1/16W 晶片電阻 0402 (公制 1005) 抗濕 厚膜</t>
    <phoneticPr fontId="1" type="noConversion"/>
  </si>
  <si>
    <t>536 Ohms ±1% 0.063W、1/16W 晶片電阻 0402 (公制 1005) 抗濕 厚膜</t>
    <phoneticPr fontId="1" type="noConversion"/>
  </si>
  <si>
    <t>CON_MOLEX_2.54mm_3P_90</t>
    <phoneticPr fontId="1" type="noConversion"/>
  </si>
  <si>
    <t>連接器排針座 通孔、直角 3 位置 0.100" (2.54mm)</t>
    <phoneticPr fontId="1" type="noConversion"/>
  </si>
  <si>
    <t>PCB_SPARROW_V2_MAIN</t>
    <phoneticPr fontId="1" type="noConversion"/>
  </si>
  <si>
    <t>PCB_SPARROW_V2_PWR</t>
    <phoneticPr fontId="1" type="noConversion"/>
  </si>
  <si>
    <t>SPARROW_Main PCB 空板</t>
    <phoneticPr fontId="1" type="noConversion"/>
  </si>
  <si>
    <t>SPARROW_Pwr PCB 空板</t>
    <phoneticPr fontId="1" type="noConversion"/>
  </si>
  <si>
    <t>D6-1</t>
    <phoneticPr fontId="1" type="noConversion"/>
  </si>
  <si>
    <t>D6-2</t>
    <phoneticPr fontId="1" type="noConversion"/>
  </si>
  <si>
    <t>D7-1</t>
    <phoneticPr fontId="1" type="noConversion"/>
  </si>
  <si>
    <t>A6-2</t>
    <phoneticPr fontId="1" type="noConversion"/>
  </si>
  <si>
    <t>A7-1</t>
    <phoneticPr fontId="1" type="noConversion"/>
  </si>
  <si>
    <t>D2-2</t>
    <phoneticPr fontId="1" type="noConversion"/>
  </si>
  <si>
    <t>D7-2</t>
    <phoneticPr fontId="1" type="noConversion"/>
  </si>
  <si>
    <t>D8-1</t>
    <phoneticPr fontId="1" type="noConversion"/>
  </si>
  <si>
    <t>D8-2</t>
    <phoneticPr fontId="1" type="noConversion"/>
  </si>
  <si>
    <t>B7-1</t>
    <phoneticPr fontId="1" type="noConversion"/>
  </si>
  <si>
    <t>SPARROW</t>
  </si>
  <si>
    <t>QSS011_PWR</t>
    <phoneticPr fontId="1" type="noConversion"/>
  </si>
  <si>
    <t>USAGE
(QSS011_PWR)</t>
    <phoneticPr fontId="1" type="noConversion"/>
  </si>
  <si>
    <t>SPARROW_Pwr, QSS011_PWR</t>
    <phoneticPr fontId="1" type="noConversion"/>
  </si>
  <si>
    <t>SPARROW_Main, QSS011_PWR</t>
    <phoneticPr fontId="1" type="noConversion"/>
  </si>
  <si>
    <t>LDO_0.4V_WDFN-6_onsemi_NCP135BMT040TBG</t>
    <phoneticPr fontId="1" type="noConversion"/>
  </si>
  <si>
    <t>PMIC - 穩壓器 - 線性 正 固定型 1 輸出  0.4V, 500mA 6-WDFN (2x2)</t>
    <phoneticPr fontId="1" type="noConversion"/>
  </si>
  <si>
    <t>MCU_VPFN-32_Microchip _ATMEGA328P-MN</t>
    <phoneticPr fontId="1" type="noConversion"/>
  </si>
  <si>
    <t>MCU</t>
    <phoneticPr fontId="1" type="noConversion"/>
  </si>
  <si>
    <t>AVR AVR® ATmega 微控制器 IC 8 位元 20MHz 32KB (16K x 16) 閃存 32-VQFN (5x5)</t>
    <phoneticPr fontId="1" type="noConversion"/>
  </si>
  <si>
    <t>D_SOD323_MicroC_Schottky _SD107WS-TP</t>
    <phoneticPr fontId="1" type="noConversion"/>
  </si>
  <si>
    <t>二極體 肖特基 30V 100mA 表面黏著式 SOD-323</t>
    <phoneticPr fontId="1" type="noConversion"/>
  </si>
  <si>
    <t>D_UFDFN-6_TI_TVS _TPD4S012DRYR</t>
    <phoneticPr fontId="1" type="noConversion"/>
  </si>
  <si>
    <t>夾接 3 A (8/20µs) Ipp TVS - 二極體 表面黏著式 6-SON (1.45x1)</t>
    <phoneticPr fontId="1" type="noConversion"/>
  </si>
  <si>
    <t>REF_SOT23-5_TI_1.5V_3V_REF2030AIDDCT</t>
    <phoneticPr fontId="1" type="noConversion"/>
  </si>
  <si>
    <t>REF</t>
    <phoneticPr fontId="1" type="noConversion"/>
  </si>
  <si>
    <t>XTAL_SMD-4_TXC_30PPM_10MHz</t>
    <phoneticPr fontId="1" type="noConversion"/>
  </si>
  <si>
    <t>IC VREF SERIES 0.05% SOT23-5</t>
    <phoneticPr fontId="1" type="noConversion"/>
  </si>
  <si>
    <t>CRYSTAL 10.0000MHZ 8PF SMD</t>
    <phoneticPr fontId="1" type="noConversion"/>
  </si>
  <si>
    <t>L_0603_Laird_BEAD_1A</t>
    <phoneticPr fontId="1" type="noConversion"/>
  </si>
  <si>
    <t>68 Ohms @ 100MHz 1 電源線路 鐵氧體磁珠和晶片 0603 (公制 1608) 1A 100mOhm</t>
    <phoneticPr fontId="1" type="noConversion"/>
  </si>
  <si>
    <t>L_1210_Murata_0.14A_10u</t>
    <phoneticPr fontId="1" type="noConversion"/>
  </si>
  <si>
    <t>10µH 屏蔽型 線繞式 電感器 140mA 400mOhm 最大 1210 (公制 3225)</t>
    <phoneticPr fontId="1" type="noConversion"/>
  </si>
  <si>
    <t>4.7µH 屏蔽型 線繞式 電感器 9.5A 8.4mOhm 最大 非標準</t>
    <phoneticPr fontId="1" type="noConversion"/>
  </si>
  <si>
    <t>L_10.2x10.2_Wurth_9.5A_4.7u</t>
    <phoneticPr fontId="1" type="noConversion"/>
  </si>
  <si>
    <t>L_12.1x11.4_Wurth_18A_2.2u</t>
    <phoneticPr fontId="1" type="noConversion"/>
  </si>
  <si>
    <t>2.2µH 屏蔽型 線繞式 電感器 18A 4.3mOhm 最大 非標準</t>
    <phoneticPr fontId="1" type="noConversion"/>
  </si>
  <si>
    <t>CON_SMD_USB_microB_90</t>
    <phoneticPr fontId="1" type="noConversion"/>
  </si>
  <si>
    <t>USB - micro B USB 2.0 插孔 連接器 5 位置 表面黏著直角式</t>
    <phoneticPr fontId="1" type="noConversion"/>
  </si>
  <si>
    <t>SER_QFN-32_FTDI_FT232RQ</t>
    <phoneticPr fontId="1" type="noConversion"/>
  </si>
  <si>
    <t>USB 橋、USB 至 UART USB 2.0 UART 介面 32-QFN (5x5)</t>
    <phoneticPr fontId="1" type="noConversion"/>
  </si>
  <si>
    <t>REF_SOT23-3_Diodes_Var_AZ431LANTR-G1</t>
    <phoneticPr fontId="1" type="noConversion"/>
  </si>
  <si>
    <t>分路器 電壓參考 IC 18V ±0.5%  SOT-23-3</t>
    <phoneticPr fontId="1" type="noConversion"/>
  </si>
  <si>
    <t>USAGE
(QSS011_MAIN)</t>
    <phoneticPr fontId="1" type="noConversion"/>
  </si>
  <si>
    <t>QSS011_MAIN</t>
    <phoneticPr fontId="1" type="noConversion"/>
  </si>
  <si>
    <t>SPARROW_Main, QSS011_MAIN</t>
    <phoneticPr fontId="1" type="noConversion"/>
  </si>
  <si>
    <t>BUF</t>
    <phoneticPr fontId="1" type="noConversion"/>
  </si>
  <si>
    <t>buffer</t>
    <phoneticPr fontId="1" type="noConversion"/>
  </si>
  <si>
    <t>BUF_VFQFN-16_ONSEMI_NB6N11SMNR2G</t>
    <phoneticPr fontId="1" type="noConversion"/>
  </si>
  <si>
    <t>IC CLK BUFFER 1:2 2GHZ 16QFN</t>
    <phoneticPr fontId="1" type="noConversion"/>
  </si>
  <si>
    <t>XTAL_SMD-4_Diodes_50PPM_50MHz</t>
    <phoneticPr fontId="1" type="noConversion"/>
  </si>
  <si>
    <t>振盪器 XO (標準) 50MHz CMOS 3.3V 啟用／停用 4-SMD、無引線</t>
    <phoneticPr fontId="1" type="noConversion"/>
  </si>
  <si>
    <t>MEM_SOIC-8_Microchip _EEPROM_2Kb</t>
    <phoneticPr fontId="1" type="noConversion"/>
  </si>
  <si>
    <t>EEPROM 記憶體 IC 2Kb (256 x 8) I²C 1MHz 400ns 8-SOIC</t>
    <phoneticPr fontId="1" type="noConversion"/>
  </si>
  <si>
    <t>BUF_MSOP-10_ONSEMI_NB4N855SMR4G</t>
    <phoneticPr fontId="1" type="noConversion"/>
  </si>
  <si>
    <t>IC DRVR/RCVR/BUFF/XLATOR MICRO10</t>
    <phoneticPr fontId="1" type="noConversion"/>
  </si>
  <si>
    <t>MEM_SOIC-16_INTEL _EPCQ_64Mb</t>
    <phoneticPr fontId="1" type="noConversion"/>
  </si>
  <si>
    <t>IC CONFIG DEVICE 64MBIT 16SOIC</t>
    <phoneticPr fontId="1" type="noConversion"/>
  </si>
  <si>
    <t>MEM_FBGA-54_ISSI_SDRAM_256Mb</t>
    <phoneticPr fontId="1" type="noConversion"/>
  </si>
  <si>
    <t>SDRAM - 行動 記憶體 IC 256Mb (16M x 16) 並行 133MHz 6ns 54-TFBGA (8x8)</t>
    <phoneticPr fontId="1" type="noConversion"/>
  </si>
  <si>
    <t>C6-2</t>
    <phoneticPr fontId="1" type="noConversion"/>
  </si>
  <si>
    <t>XTAL_SMD-6_Microchip_10PPM_LVDS_125MHz</t>
    <phoneticPr fontId="1" type="noConversion"/>
  </si>
  <si>
    <t>振盪器 XO (標準) 125MHz LVDS 2.25V ~ 3.63V 啟用／停用 6-SMD、無引線</t>
    <phoneticPr fontId="1" type="noConversion"/>
  </si>
  <si>
    <t>D_SOT-23-3_Bourns_TVS_CDSOT23-SM712</t>
    <phoneticPr fontId="1" type="noConversion"/>
  </si>
  <si>
    <t>26V、14V 夾接 17 A (8/20µs) Ipp TVS - 二極體 表面黏著式 SOT-23-3</t>
    <phoneticPr fontId="1" type="noConversion"/>
  </si>
  <si>
    <t>SPARROW_PWR</t>
    <phoneticPr fontId="1" type="noConversion"/>
  </si>
  <si>
    <t>C7-1</t>
    <phoneticPr fontId="1" type="noConversion"/>
  </si>
  <si>
    <t>A7-2</t>
    <phoneticPr fontId="1" type="noConversion"/>
  </si>
  <si>
    <t>A8-1</t>
    <phoneticPr fontId="1" type="noConversion"/>
  </si>
  <si>
    <t>QSS011</t>
    <phoneticPr fontId="1" type="noConversion"/>
  </si>
  <si>
    <t>A8-2</t>
    <phoneticPr fontId="1" type="noConversion"/>
  </si>
  <si>
    <t>新建科技</t>
    <phoneticPr fontId="1" type="noConversion"/>
  </si>
  <si>
    <t>MEM_DFN-8_Microchip Technology_EEPROM_32Kb</t>
    <phoneticPr fontId="1" type="noConversion"/>
  </si>
  <si>
    <t>EEPROM 記憶體 IC 32Kb (4K x 8) I²C 400 kHz 900 ns 8-DFN (2x3)</t>
    <phoneticPr fontId="1" type="noConversion"/>
  </si>
  <si>
    <t>XTAL_SMD-4_Abracon_10PPM_CMOS_125MHz</t>
    <phoneticPr fontId="1" type="noConversion"/>
  </si>
  <si>
    <t>振盪器 XO (標準) 125 MHz CMOS 1.8V ~ 3.3V 待機 (關機) 4-SMD、無引線</t>
    <phoneticPr fontId="1" type="noConversion"/>
  </si>
  <si>
    <t>C_0603_Murata _MLCC_25V_4.7n</t>
    <phoneticPr fontId="1" type="noConversion"/>
  </si>
  <si>
    <t>R_0603_Yageo_1%_51</t>
  </si>
  <si>
    <t>R_0603_Yageo_1%_51</t>
    <phoneticPr fontId="1" type="noConversion"/>
  </si>
  <si>
    <t>51 Ohms ±1% 0.1W、1/10W 晶片電阻 0603 (公制 1608) 抗濕 厚膜</t>
    <phoneticPr fontId="1" type="noConversion"/>
  </si>
  <si>
    <t>4700 pF ±10% 50V 陶瓷電容 X7R 0603 (公制 1608)</t>
    <phoneticPr fontId="1" type="noConversion"/>
  </si>
  <si>
    <t>PCB_SPARROW_V2-2_MAIN</t>
    <phoneticPr fontId="1" type="noConversion"/>
  </si>
  <si>
    <t>SPARROW_Main V2-2 PCB 空板</t>
    <phoneticPr fontId="1" type="noConversion"/>
  </si>
  <si>
    <t>D9-1</t>
    <phoneticPr fontId="1" type="noConversion"/>
  </si>
  <si>
    <t>B7-2</t>
    <phoneticPr fontId="1" type="noConversion"/>
  </si>
  <si>
    <t>B8-1</t>
    <phoneticPr fontId="1" type="noConversion"/>
  </si>
  <si>
    <t>D9-2</t>
    <phoneticPr fontId="1" type="noConversion"/>
  </si>
  <si>
    <t>C_0402_MURATA_MLCC_50V_2.7n</t>
    <phoneticPr fontId="1" type="noConversion"/>
  </si>
  <si>
    <t>2700 pF ±10% 50V 陶瓷電容 X7R 0402 (公制 1005)</t>
    <phoneticPr fontId="1" type="noConversion"/>
  </si>
  <si>
    <t>C_0402_MURATA_MLCC_50V_1.8n</t>
    <phoneticPr fontId="1" type="noConversion"/>
  </si>
  <si>
    <t>1800 pF ±10% 50V 陶瓷電容 X7R 0402 (公制 1005)</t>
    <phoneticPr fontId="1" type="noConversion"/>
  </si>
  <si>
    <t>交給映彤</t>
    <phoneticPr fontId="1" type="noConversion"/>
  </si>
  <si>
    <t>QSS011_SENSOR</t>
    <phoneticPr fontId="1" type="noConversion"/>
  </si>
  <si>
    <t>防潮櫃</t>
    <phoneticPr fontId="1" type="noConversion"/>
  </si>
  <si>
    <t>C4</t>
    <phoneticPr fontId="1" type="noConversion"/>
  </si>
  <si>
    <t>C_1210_Murata_MLCC_6.3V_100u</t>
    <phoneticPr fontId="1" type="noConversion"/>
  </si>
  <si>
    <t>LDO</t>
  </si>
  <si>
    <t>SENSOR_SOT23-5_MAXIM_TEMP_DS1775R</t>
  </si>
  <si>
    <t>SENSOR</t>
  </si>
  <si>
    <t>LDO_1.8V_VDFN-8_ONSEMI_NCV8187AMLE180TCG</t>
  </si>
  <si>
    <t>Sparrow V2</t>
    <phoneticPr fontId="1" type="noConversion"/>
  </si>
  <si>
    <t>XTAL_SMD-4_ILSI_25PPM_CMOS_50MHz</t>
    <phoneticPr fontId="1" type="noConversion"/>
  </si>
  <si>
    <t>振盪器 XO (標準) 50 MHz CMOS 1.8V 啟用／停用 4-SMD、無引線</t>
    <phoneticPr fontId="1" type="noConversion"/>
  </si>
  <si>
    <t>A9-1</t>
    <phoneticPr fontId="1" type="noConversion"/>
  </si>
  <si>
    <t>POW</t>
  </si>
  <si>
    <t>C_2924_AVX_TANT_16V_470u</t>
    <phoneticPr fontId="1" type="noConversion"/>
  </si>
  <si>
    <t>ADC_LFCSP-32_14bit_AD9245BCPZ-20</t>
    <phoneticPr fontId="1" type="noConversion"/>
  </si>
  <si>
    <t>ADC_LFCSP-32_14bit_AD9245BCPZ-40</t>
    <phoneticPr fontId="1" type="noConversion"/>
  </si>
  <si>
    <t>ADC_LFCSP-32_14bit_AD9245BCPZ-65</t>
    <phoneticPr fontId="1" type="noConversion"/>
  </si>
  <si>
    <t>ADC_LFCSP-32_14bit_AD9245BCPZ-80</t>
    <phoneticPr fontId="1" type="noConversion"/>
  </si>
  <si>
    <t>14 位元類比數位轉換器 1 輸入 1 帶管線的 32-LFCSP-WQ (5x5)</t>
  </si>
  <si>
    <t>ADC_LFCSP-32_14bit_AD9235BCPZ-20</t>
    <phoneticPr fontId="1" type="noConversion"/>
  </si>
  <si>
    <t>ADC_LFCSP-32_14bit_AD9235BCPZ-40</t>
    <phoneticPr fontId="1" type="noConversion"/>
  </si>
  <si>
    <t>ADC_LFCSP-32_14bit_AD9235BCPZ-65</t>
    <phoneticPr fontId="1" type="noConversion"/>
  </si>
  <si>
    <t>12 位元類比數位轉換器 1 輸入 1 帶管線的 32-LFCSP-VQ (5x5)</t>
    <phoneticPr fontId="1" type="noConversion"/>
  </si>
  <si>
    <t>OP_WFQFN-16_AD_AD8351ACPZ</t>
    <phoneticPr fontId="1" type="noConversion"/>
  </si>
  <si>
    <t>差動 放大器 1 個電路 - 16-LFCSP-WQ (3x3)</t>
    <phoneticPr fontId="1" type="noConversion"/>
  </si>
  <si>
    <t>POW_PSO8_TI_TPS5430</t>
    <phoneticPr fontId="1" type="noConversion"/>
  </si>
  <si>
    <t>降壓 切換式穩壓器 IC 正 可調式 1.221V 1 輸出 3A 8-PowerSOIC (0.154"、3.90mm 寬)</t>
    <phoneticPr fontId="1" type="noConversion"/>
  </si>
  <si>
    <t>POW_WFQFN-24_AD_ADP2443ACPZN</t>
    <phoneticPr fontId="1" type="noConversion"/>
  </si>
  <si>
    <t>降壓 切換式穩壓器 IC 正 可調式 0.6V 1 輸出 3A 24-WFQFN 裸焊盤、CSP</t>
    <phoneticPr fontId="1" type="noConversion"/>
  </si>
  <si>
    <t>SER_SO8_MAXIM_MAX3490</t>
    <phoneticPr fontId="1" type="noConversion"/>
  </si>
  <si>
    <t>收發器 1/1 RS422、RS485 完整 8-SOIC</t>
    <phoneticPr fontId="1" type="noConversion"/>
  </si>
  <si>
    <t>SER_SOT-23-6_MAXIM_MAX3284</t>
    <phoneticPr fontId="1" type="noConversion"/>
  </si>
  <si>
    <t>接收器 0/1 RS422、RS485 - SOT-6</t>
    <phoneticPr fontId="1" type="noConversion"/>
  </si>
  <si>
    <t>SER_SOT-23-5_MAXIM_MAX3180</t>
    <phoneticPr fontId="1" type="noConversion"/>
  </si>
  <si>
    <t>接收器 0/1 RS232 - SOT-23-5</t>
    <phoneticPr fontId="1" type="noConversion"/>
  </si>
  <si>
    <t>POW_BGA-49_AD_LTM8078EY#PBF</t>
    <phoneticPr fontId="1" type="noConversion"/>
  </si>
  <si>
    <t>非隔離式 PoL 模組 DC DC 轉換器 2 輸出 3.3V 5V - - 1.4A、1.4A 3V - 40V 輸入</t>
    <phoneticPr fontId="1" type="noConversion"/>
  </si>
  <si>
    <t>POW_BGA-40_AD_LTM8045IY#PBF</t>
    <phoneticPr fontId="1" type="noConversion"/>
  </si>
  <si>
    <t>非隔離式 PoL 模組 DC DC 轉換器 1 輸出 -2.5 ~ -15V、2.5 ~ 15V - - 700mA 2.8V - 18V 輸入</t>
    <phoneticPr fontId="1" type="noConversion"/>
  </si>
  <si>
    <t>C_0805_MURATA_MLCC_X5R_50V_4.7u</t>
    <phoneticPr fontId="1" type="noConversion"/>
  </si>
  <si>
    <t>IMU_V3</t>
    <phoneticPr fontId="1" type="noConversion"/>
  </si>
  <si>
    <t>USAGE
(IMU_V3)</t>
    <phoneticPr fontId="1" type="noConversion"/>
  </si>
  <si>
    <t>4.7 µF ±10% 50V 陶瓷電容 X5R 0805 (公制 2012)</t>
    <phoneticPr fontId="1" type="noConversion"/>
  </si>
  <si>
    <t>鋁質電解電容 125°C 時為 1500 小時 22 µF 63 V - 徑向、Can - SMD</t>
    <phoneticPr fontId="1" type="noConversion"/>
  </si>
  <si>
    <t>C_0805_MURATA_MLCC_X5R_10V_47u</t>
    <phoneticPr fontId="1" type="noConversion"/>
  </si>
  <si>
    <t>47 µF ±20% 10V 陶瓷電容 X5R 0805 (公制 2012)</t>
    <phoneticPr fontId="1" type="noConversion"/>
  </si>
  <si>
    <t>22 µF ±20% 10V 陶瓷電容 X5R 0603 (公制 1608)</t>
    <phoneticPr fontId="1" type="noConversion"/>
  </si>
  <si>
    <t>C_0603_MURATA_MLCC_X5R_10V_22u</t>
    <phoneticPr fontId="1" type="noConversion"/>
  </si>
  <si>
    <t>C_0805_Taiyo Yuden_MLCC_X7R_50V_1u</t>
    <phoneticPr fontId="1" type="noConversion"/>
  </si>
  <si>
    <t>1 µF ±10% 50V 陶瓷電容 X7R 0805 (公制 2012)</t>
    <phoneticPr fontId="1" type="noConversion"/>
  </si>
  <si>
    <t>C_1210_Taiyo Yuden_MLCC_X7R_50V_10u</t>
    <phoneticPr fontId="1" type="noConversion"/>
  </si>
  <si>
    <t>10 µF ±10% 50V 陶瓷電容 X7R 1210 (公制 3225)</t>
    <phoneticPr fontId="1" type="noConversion"/>
  </si>
  <si>
    <t>C_0603_MURATA_MLCC_X7R_50V_0.1u</t>
    <phoneticPr fontId="1" type="noConversion"/>
  </si>
  <si>
    <t>0.1 µF ±10% 50V 陶瓷電容 X7R 0603 (公制 1608)</t>
    <phoneticPr fontId="1" type="noConversion"/>
  </si>
  <si>
    <t>C_0402_MURATA_MLCC_X7R_50V_0.1u</t>
    <phoneticPr fontId="1" type="noConversion"/>
  </si>
  <si>
    <t>0.1 µF ±10% 50V 陶瓷電容 X7R 0402 (公制 1005)</t>
    <phoneticPr fontId="1" type="noConversion"/>
  </si>
  <si>
    <t>L_1812_Wurth_BEAD_8A</t>
    <phoneticPr fontId="1" type="noConversion"/>
  </si>
  <si>
    <t>100 Ohms @ 100 MHz 1 - 鐵氧體磁珠和晶片 1812 (公制 4532) 8A 6mOhm</t>
    <phoneticPr fontId="1" type="noConversion"/>
  </si>
  <si>
    <t>L_4.45x4.06_Wurth_9.5A_0.22u</t>
    <phoneticPr fontId="1" type="noConversion"/>
  </si>
  <si>
    <t>220 nH 屏蔽型 鑄模式 電感器 9.5 A 7.3mOhm 最大 非標準</t>
    <phoneticPr fontId="1" type="noConversion"/>
  </si>
  <si>
    <t>R_0603_Yageo_1%_44.2k</t>
    <phoneticPr fontId="1" type="noConversion"/>
  </si>
  <si>
    <t>44.2 kOhms ±1% 0.1W、1/10W 晶片電阻 0603 (公制 1608) 汽車 AEC-Q200、防潮 厚膜</t>
    <phoneticPr fontId="1" type="noConversion"/>
  </si>
  <si>
    <t>C_ALU_SMD_10x10_Vishay_63V_22u</t>
    <phoneticPr fontId="1" type="noConversion"/>
  </si>
  <si>
    <t>R_0603_Yageo_1%_133k</t>
    <phoneticPr fontId="1" type="noConversion"/>
  </si>
  <si>
    <t>133 kOhms ±1% 0.1W、1/10W 晶片電阻 0603 (公制 1608) 抗濕 厚膜</t>
    <phoneticPr fontId="1" type="noConversion"/>
  </si>
  <si>
    <t>C_ALU_SMD_10x10_Vishay_63V_47u</t>
    <phoneticPr fontId="1" type="noConversion"/>
  </si>
  <si>
    <t>鋁質電解電容 125°C 時為 1500 小時 47 µF 63 V - 徑向、Can - SMD</t>
    <phoneticPr fontId="1" type="noConversion"/>
  </si>
  <si>
    <t>R_0603_Yageo_1%_38.3k</t>
    <phoneticPr fontId="1" type="noConversion"/>
  </si>
  <si>
    <t>38.3 kOhms ±1% 0.1W、1/10W 晶片電阻 0603 (公制 1608) 汽車 AEC-Q200、防潮 厚膜</t>
    <phoneticPr fontId="1" type="noConversion"/>
  </si>
  <si>
    <t>R_0603_Yageo_1%_66.5k</t>
    <phoneticPr fontId="1" type="noConversion"/>
  </si>
  <si>
    <t>66.5 kOhms ±0.5% 0.1W、1/10W 晶片電阻 0603 (公制 1608) - 薄膜</t>
    <phoneticPr fontId="1" type="noConversion"/>
  </si>
  <si>
    <t>R_0603_Yageo_1%_261k</t>
    <phoneticPr fontId="1" type="noConversion"/>
  </si>
  <si>
    <t>261 kOhms ±1% 0.1W、1/10W 晶片電阻 0603 (公制 1608) 抗濕 厚膜</t>
    <phoneticPr fontId="1" type="noConversion"/>
  </si>
  <si>
    <t>R_0603_Yageo_1%_165k</t>
    <phoneticPr fontId="1" type="noConversion"/>
  </si>
  <si>
    <t>165 kOhms ±1% 0.1W、1/10W 晶片電阻 0603 (公制 1608) 抗濕 厚膜</t>
    <phoneticPr fontId="1" type="noConversion"/>
  </si>
  <si>
    <t>R_0603_Yageo_1%_69.8k</t>
    <phoneticPr fontId="1" type="noConversion"/>
  </si>
  <si>
    <t>R_0603_Yageo_1%_84.5k</t>
    <phoneticPr fontId="1" type="noConversion"/>
  </si>
  <si>
    <t>69.8 kOhms ±1% 0.1W、1/10W 晶片電阻 0603 (公制 1608) 汽車 AEC-Q200、防潮 厚膜</t>
    <phoneticPr fontId="1" type="noConversion"/>
  </si>
  <si>
    <t>84.5 kOhms ±0.5% 0.1W、1/10W 晶片電阻 0603 (公制 1608) - 薄膜</t>
    <phoneticPr fontId="1" type="noConversion"/>
  </si>
  <si>
    <t>R_0603_Yageo_1%_90.9k</t>
    <phoneticPr fontId="1" type="noConversion"/>
  </si>
  <si>
    <t>90.9 kOhms ±1% 0.1W、1/10W 晶片電阻 0603 (公制 1608) 汽車 AEC-Q200、防潮 厚膜</t>
    <phoneticPr fontId="1" type="noConversion"/>
  </si>
  <si>
    <t>D_SOD128_Nexperia_Schottky_PMEG6020EP,115</t>
    <phoneticPr fontId="1" type="noConversion"/>
  </si>
  <si>
    <t>二極體 肖特基 60 V 2A 表面黏著式 SOD-128/CFP5</t>
    <phoneticPr fontId="1" type="noConversion"/>
  </si>
  <si>
    <t>SER_SOT-23-5_MAXIM_MAX3294</t>
    <phoneticPr fontId="1" type="noConversion"/>
  </si>
  <si>
    <t>CON_MicroD-15_Male_90</t>
    <phoneticPr fontId="1" type="noConversion"/>
  </si>
  <si>
    <t>15 位置 D型、Micro-D 插頭、公引腳 連接器</t>
    <phoneticPr fontId="1" type="noConversion"/>
  </si>
  <si>
    <t>SPARROW_Main, SPARROW_Pwr, IMU_V3</t>
    <phoneticPr fontId="1" type="noConversion"/>
  </si>
  <si>
    <t>IMU, IMU_V3</t>
    <phoneticPr fontId="1" type="noConversion"/>
  </si>
  <si>
    <t>C_0603_Murata _MLCC_X7R_10V_4.7u</t>
    <phoneticPr fontId="1" type="noConversion"/>
  </si>
  <si>
    <t>4.7 µF ±20% 10V 陶瓷電容 X7R 0603 (公制 1608)</t>
    <phoneticPr fontId="1" type="noConversion"/>
  </si>
  <si>
    <t>C_0603_MLCC_X7R_10V_10n</t>
    <phoneticPr fontId="1" type="noConversion"/>
  </si>
  <si>
    <t>10000 pF ±10% 10V 陶瓷電容 X7R 0603 (公制 1608)</t>
    <phoneticPr fontId="1" type="noConversion"/>
  </si>
  <si>
    <t>IMU, SPARROW_Pwr, IMU_V3</t>
    <phoneticPr fontId="1" type="noConversion"/>
  </si>
  <si>
    <t>IMU, SPARROW_Main, IMU_V3</t>
    <phoneticPr fontId="1" type="noConversion"/>
  </si>
  <si>
    <t>SPARROW_Main, IMU_V3</t>
    <phoneticPr fontId="1" type="noConversion"/>
  </si>
  <si>
    <t>CON_2.54mm_terminalBlock_4P</t>
    <phoneticPr fontId="1" type="noConversion"/>
  </si>
  <si>
    <t>4 端子台 - 線對板 水平、帶板 0.100" (2.54mm) 通孔式</t>
    <phoneticPr fontId="1" type="noConversion"/>
  </si>
  <si>
    <t>R_0603_Yageo_1%_1M</t>
    <phoneticPr fontId="1" type="noConversion"/>
  </si>
  <si>
    <t>1 MOhms ±1% 0.1W、1/10W 晶片電阻 0603 (公制 1608) 抗濕 厚膜</t>
    <phoneticPr fontId="1" type="noConversion"/>
  </si>
  <si>
    <t>R_0603_Yageo_1%_100k</t>
    <phoneticPr fontId="1" type="noConversion"/>
  </si>
  <si>
    <t>100 kOhms ±1% 0.1W、1/10W 晶片電阻 0603 (公制 1608) 抗濕 厚膜</t>
    <phoneticPr fontId="1" type="noConversion"/>
  </si>
  <si>
    <t>R_0603_Yageo_1%_21k</t>
    <phoneticPr fontId="1" type="noConversion"/>
  </si>
  <si>
    <t>R_0603_Yageo_1%_47.5k</t>
    <phoneticPr fontId="1" type="noConversion"/>
  </si>
  <si>
    <t>47.5 kOhms ±1% 0.1W、1/10W 晶片電阻 0603 (公制 1608) 汽車 AEC-Q200、防潮 厚膜</t>
    <phoneticPr fontId="1" type="noConversion"/>
  </si>
  <si>
    <t>R_0603_Yageo_0</t>
    <phoneticPr fontId="1" type="noConversion"/>
  </si>
  <si>
    <t>0 Ohms 跳線器 0.1W、1/10W 晶片電阻 0603 (公制 1608) 汽車 AEC-Q200、防潮 厚膜</t>
    <phoneticPr fontId="1" type="noConversion"/>
  </si>
  <si>
    <t>R_0402_Yageo_1%_120</t>
    <phoneticPr fontId="1" type="noConversion"/>
  </si>
  <si>
    <t>120 Ohms ±1% 0.063W、1/16W 晶片電阻 0402 (公制 1005) 抗硫、汽車 AEC-Q200 認證 厚膜</t>
    <phoneticPr fontId="1" type="noConversion"/>
  </si>
  <si>
    <t>R_0402_Yageo_1%_620</t>
    <phoneticPr fontId="1" type="noConversion"/>
  </si>
  <si>
    <t>620 Ohms ±5% 0.063W、1/16W 晶片電阻 0402 (公制 1005) 抗濕 厚膜</t>
    <phoneticPr fontId="1" type="noConversion"/>
  </si>
  <si>
    <t>%</t>
    <phoneticPr fontId="1" type="noConversion"/>
  </si>
  <si>
    <t>IMU_V3, SPARROW_Main</t>
    <phoneticPr fontId="1" type="noConversion"/>
  </si>
  <si>
    <t>SPARROW_Main, SPARROW_Pwr, QSS011_MAIN, IMU_V3</t>
    <phoneticPr fontId="1" type="noConversion"/>
  </si>
  <si>
    <t>驅動器 1/0 RS422、RS485 - SOT-6</t>
    <phoneticPr fontId="1" type="noConversion"/>
  </si>
  <si>
    <t>R_2512_Bourns_1W_0</t>
    <phoneticPr fontId="1" type="noConversion"/>
  </si>
  <si>
    <t>0 Ohms 跳線器 1W 晶片電阻 2512 (公制 6432) - 厚膜</t>
    <phoneticPr fontId="1" type="noConversion"/>
  </si>
  <si>
    <t>OP_VFQFN-16_TI_THS4541</t>
    <phoneticPr fontId="1" type="noConversion"/>
  </si>
  <si>
    <t>差動 放大器 1 個電路 軌對軌 16-VQFN (3x3)</t>
    <phoneticPr fontId="1" type="noConversion"/>
  </si>
  <si>
    <t>MUX_SC-70-6_SPDTx1_ISL84714IHZ-T</t>
    <phoneticPr fontId="1" type="noConversion"/>
  </si>
  <si>
    <t>1 電路 IC 開關 2：1 600mOhm SC-70-6</t>
    <phoneticPr fontId="1" type="noConversion"/>
  </si>
  <si>
    <t>LDO_2.5V_VDFN-8_TI_TPS73525QDRBRQ1</t>
    <phoneticPr fontId="1" type="noConversion"/>
  </si>
  <si>
    <t>ADC_QFN-40_AD_14bit_singleChannel_LTC2261</t>
    <phoneticPr fontId="1" type="noConversion"/>
  </si>
  <si>
    <t>B9</t>
    <phoneticPr fontId="1" type="noConversion"/>
  </si>
  <si>
    <t>C8</t>
    <phoneticPr fontId="1" type="noConversion"/>
  </si>
  <si>
    <t>C9-1</t>
    <phoneticPr fontId="1" type="noConversion"/>
  </si>
  <si>
    <t>PCB_IMU_V3</t>
    <phoneticPr fontId="1" type="noConversion"/>
  </si>
  <si>
    <t>塑膠盒、電路抽屜</t>
    <phoneticPr fontId="1" type="noConversion"/>
  </si>
  <si>
    <t>給Jerry</t>
    <phoneticPr fontId="1" type="noConversion"/>
  </si>
  <si>
    <t>FPGA_SMT</t>
    <phoneticPr fontId="1" type="noConversion"/>
  </si>
  <si>
    <t>IMUV3 SMT</t>
    <phoneticPr fontId="1" type="noConversion"/>
  </si>
  <si>
    <t>IMU_V3 PCB 空板</t>
    <phoneticPr fontId="1" type="noConversion"/>
  </si>
  <si>
    <t>IMU_V3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</si>
</sst>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"/>
  </numFmts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sz val="10"/>
      <color rgb="FF1E1E1E"/>
      <name val="Courier New"/>
      <family val="3"/>
    </font>
    <font>
      <b/>
      <i/>
      <sz val="10"/>
      <color rgb="FFDD0055"/>
      <name val="Arial"/>
      <family val="2"/>
    </font>
    <font>
      <sz val="11"/>
      <color rgb="FFFF0000"/>
      <name val="新細明體"/>
      <family val="1"/>
      <charset val="136"/>
    </font>
    <font>
      <b/>
      <sz val="11"/>
      <color rgb="FFFF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9" fillId="0" borderId="0" applyFont="0" applyFill="0" applyBorder="0" applyAlignment="0" applyProtection="0">
      <alignment vertical="center"/>
    </xf>
  </cellStyleXfs>
  <cellXfs count="5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1"/>
    <xf numFmtId="0" fontId="0" fillId="2" borderId="1" xfId="0" applyFill="1" applyBorder="1" applyAlignment="1">
      <alignment horizontal="center"/>
    </xf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quotePrefix="1"/>
    <xf numFmtId="49" fontId="0" fillId="0" borderId="0" xfId="0" applyNumberFormat="1"/>
    <xf numFmtId="49" fontId="0" fillId="2" borderId="1" xfId="0" applyNumberFormat="1" applyFill="1" applyBorder="1"/>
    <xf numFmtId="0" fontId="0" fillId="2" borderId="2" xfId="0" applyFill="1" applyBorder="1"/>
    <xf numFmtId="0" fontId="0" fillId="0" borderId="0" xfId="0" applyNumberFormat="1" applyAlignment="1">
      <alignment horizontal="center" vertical="center"/>
    </xf>
    <xf numFmtId="0" fontId="0" fillId="3" borderId="1" xfId="0" applyFill="1" applyBorder="1"/>
    <xf numFmtId="0" fontId="0" fillId="0" borderId="0" xfId="0" applyAlignment="1">
      <alignment horizontal="center" vertical="center"/>
    </xf>
    <xf numFmtId="0" fontId="0" fillId="0" borderId="4" xfId="0" applyNumberForma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3" xfId="0" applyNumberForma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1" xfId="0" applyBorder="1"/>
    <xf numFmtId="0" fontId="2" fillId="0" borderId="0" xfId="1" applyBorder="1"/>
    <xf numFmtId="0" fontId="0" fillId="0" borderId="0" xfId="0" applyBorder="1" applyAlignment="1">
      <alignment horizontal="left"/>
    </xf>
    <xf numFmtId="0" fontId="0" fillId="0" borderId="0" xfId="0" applyBorder="1"/>
    <xf numFmtId="1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0" fillId="0" borderId="0" xfId="0" applyNumberFormat="1"/>
    <xf numFmtId="0" fontId="6" fillId="0" borderId="0" xfId="0" applyFont="1"/>
    <xf numFmtId="176" fontId="0" fillId="0" borderId="0" xfId="0" applyNumberFormat="1" applyAlignment="1">
      <alignment horizontal="center"/>
    </xf>
    <xf numFmtId="0" fontId="8" fillId="0" borderId="0" xfId="1" applyFont="1"/>
    <xf numFmtId="0" fontId="0" fillId="5" borderId="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3">
    <cellStyle name="一般" xfId="0" builtinId="0"/>
    <cellStyle name="百分比" xfId="2" builtinId="5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9525</xdr:rowOff>
        </xdr:from>
        <xdr:to>
          <xdr:col>11</xdr:col>
          <xdr:colOff>542925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按下計算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eurl.cc/main/tw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048564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3" sqref="A23"/>
    </sheetView>
  </sheetViews>
  <sheetFormatPr defaultRowHeight="15.75" x14ac:dyDescent="0.25"/>
  <cols>
    <col min="1" max="1" width="55.28515625" bestFit="1" customWidth="1"/>
    <col min="2" max="2" width="10.28515625" style="2" bestFit="1" customWidth="1"/>
    <col min="3" max="3" width="15.42578125" style="2" bestFit="1" customWidth="1"/>
    <col min="4" max="4" width="20" style="2" bestFit="1" customWidth="1"/>
    <col min="5" max="5" width="26.7109375" bestFit="1" customWidth="1"/>
    <col min="6" max="6" width="11.42578125" bestFit="1" customWidth="1"/>
    <col min="7" max="7" width="16.5703125" bestFit="1" customWidth="1"/>
    <col min="8" max="8" width="32.85546875" style="10" customWidth="1"/>
    <col min="9" max="9" width="10.5703125" style="13" hidden="1" customWidth="1"/>
    <col min="10" max="10" width="25.7109375" style="13" customWidth="1"/>
    <col min="11" max="11" width="22.42578125" style="13" customWidth="1"/>
    <col min="12" max="12" width="20.28515625" style="13" hidden="1" customWidth="1"/>
    <col min="13" max="13" width="21.5703125" style="13" hidden="1" customWidth="1"/>
    <col min="14" max="14" width="21.5703125" style="13" customWidth="1"/>
    <col min="15" max="15" width="97.42578125" bestFit="1" customWidth="1"/>
    <col min="16" max="16" width="13.42578125" bestFit="1" customWidth="1"/>
    <col min="17" max="17" width="163.5703125" bestFit="1" customWidth="1"/>
  </cols>
  <sheetData>
    <row r="1" spans="1:17" s="15" customFormat="1" ht="31.5" x14ac:dyDescent="0.25">
      <c r="A1" s="17" t="s">
        <v>0</v>
      </c>
      <c r="B1" s="18" t="s">
        <v>19</v>
      </c>
      <c r="C1" s="18" t="s">
        <v>160</v>
      </c>
      <c r="D1" s="18" t="s">
        <v>284</v>
      </c>
      <c r="E1" s="17" t="s">
        <v>3</v>
      </c>
      <c r="F1" s="17" t="s">
        <v>18</v>
      </c>
      <c r="G1" s="17" t="s">
        <v>183</v>
      </c>
      <c r="H1" s="19" t="s">
        <v>28</v>
      </c>
      <c r="I1" s="20" t="s">
        <v>161</v>
      </c>
      <c r="J1" s="16" t="s">
        <v>463</v>
      </c>
      <c r="K1" s="16" t="s">
        <v>464</v>
      </c>
      <c r="L1" s="16" t="s">
        <v>501</v>
      </c>
      <c r="M1" s="16" t="s">
        <v>532</v>
      </c>
      <c r="N1" s="16" t="s">
        <v>622</v>
      </c>
      <c r="O1" s="17" t="s">
        <v>2</v>
      </c>
    </row>
    <row r="2" spans="1:17" x14ac:dyDescent="0.25">
      <c r="A2" t="s">
        <v>69</v>
      </c>
      <c r="B2" s="2" t="str">
        <f>IF(ISNA(_xlfn.XMATCH(A2,PURCHASE!$A:$A)),"先入料",_xlfn.XLOOKUP(A2,PURCHASE!A:A,PURCHASE!B:B))</f>
        <v>C</v>
      </c>
      <c r="C2" s="2" cm="1">
        <f t="array" ref="C2">IF(ISNA(_xlfn.XMATCH(A2,PURCHASE!$A:$A)),"先入料",SUMPRODUCT((PURCHASE!$A$2:$A$997=MAIN!A2)*PURCHASE!$C$2:$C$997)-SUMPRODUCT((CONSUME!$A$2:$A$992=MAIN!A2)*CONSUME!$C$2:$C$992))</f>
        <v>3</v>
      </c>
      <c r="D2" s="2" t="str">
        <f>IF(ISNA(_xlfn.XMATCH(A2,PURCHASE!$A:$A)),"先入料",_xlfn.XLOOKUP(A2,PURCHASE!A:A,PURCHASE!D:D))</f>
        <v>C1-2</v>
      </c>
      <c r="E2" s="4" t="str">
        <f>HYPERLINK("https://www.digikey.tw/product-detail/zh/avx-corporation/TCN4337M020R0100E/478-13505-6-ND/10381525","TCN4337M020R0100E")</f>
        <v>TCN4337M020R0100E</v>
      </c>
      <c r="F2" s="4" t="str">
        <f>HYPERLINK("https://datasheets.avx.com/TCN_Undertab.pdf","pdf")</f>
        <v>pdf</v>
      </c>
      <c r="G2" s="4"/>
      <c r="H2" s="10" t="s">
        <v>29</v>
      </c>
      <c r="I2" s="13">
        <v>2</v>
      </c>
      <c r="O2" t="s">
        <v>148</v>
      </c>
      <c r="P2" s="4"/>
      <c r="Q2" s="6"/>
    </row>
    <row r="3" spans="1:17" x14ac:dyDescent="0.25">
      <c r="A3" t="s">
        <v>65</v>
      </c>
      <c r="B3" s="2" t="str">
        <f>IF(ISNA(_xlfn.XMATCH(A3,PURCHASE!$A:$A)),"先入料",_xlfn.XLOOKUP(A3,PURCHASE!A:A,PURCHASE!B:B))</f>
        <v>L</v>
      </c>
      <c r="C3" s="2" cm="1">
        <f t="array" ref="C3">IF(ISNA(_xlfn.XMATCH(A3,PURCHASE!$A:$A)),"先入料",SUMPRODUCT((PURCHASE!$A$2:$A$997=MAIN!A3)*PURCHASE!$C$2:$C$997)-SUMPRODUCT((CONSUME!$A$2:$A$992=MAIN!A3)*CONSUME!$C$2:$C$992))</f>
        <v>0</v>
      </c>
      <c r="D3" s="2">
        <f>IF(ISNA(_xlfn.XMATCH(A3,PURCHASE!$A:$A)),"先入料",_xlfn.XLOOKUP(A3,PURCHASE!A:A,PURCHASE!D:D))</f>
        <v>0</v>
      </c>
      <c r="E3" s="4" t="str">
        <f>HYPERLINK("https://www.digikey.tw/product-detail/zh/sumida-america-components-inc/CDRH105RNP-150NC/308-1922-1-ND/3947136","CDRH105")</f>
        <v>CDRH105</v>
      </c>
      <c r="F3" s="4" t="str">
        <f>HYPERLINK("http://products.sumida.com/products/pdf/CDRH105R.pdf","pdf")</f>
        <v>pdf</v>
      </c>
      <c r="G3" s="4"/>
      <c r="O3" t="s">
        <v>25</v>
      </c>
      <c r="Q3" s="7"/>
    </row>
    <row r="4" spans="1:17" x14ac:dyDescent="0.25">
      <c r="A4" t="s">
        <v>66</v>
      </c>
      <c r="B4" s="2" t="str">
        <f>IF(ISNA(_xlfn.XMATCH(A4,PURCHASE!$A:$A)),"先入料",_xlfn.XLOOKUP(A4,PURCHASE!A:A,PURCHASE!B:B))</f>
        <v>L</v>
      </c>
      <c r="C4" s="2" cm="1">
        <f t="array" ref="C4">IF(ISNA(_xlfn.XMATCH(A4,PURCHASE!$A:$A)),"先入料",SUMPRODUCT((PURCHASE!$A$2:$A$997=MAIN!A4)*PURCHASE!$C$2:$C$997)-SUMPRODUCT((CONSUME!$A$2:$A$992=MAIN!A4)*CONSUME!$C$2:$C$992))</f>
        <v>0</v>
      </c>
      <c r="D4" s="2">
        <f>IF(ISNA(_xlfn.XMATCH(A4,PURCHASE!$A:$A)),"先入料",_xlfn.XLOOKUP(A4,PURCHASE!A:A,PURCHASE!D:D))</f>
        <v>0</v>
      </c>
      <c r="E4" s="4" t="str">
        <f>HYPERLINK("https://www.mouser.tw/ProductDetail/TDK/SPM10065VT-680M-D?qs=vmHwEFxEFR8nbK6m6nA4Mw==","SPM10065VT-680M")</f>
        <v>SPM10065VT-680M</v>
      </c>
      <c r="F4" s="4" t="str">
        <f>HYPERLINK("https://product.tdk.com/system/files/dam/doc/product/inductor/inductor/smd/catalog/inductor_automotive_power_spm10065vt-d_en.pdf","pdf")</f>
        <v>pdf</v>
      </c>
      <c r="G4" s="4"/>
      <c r="O4" t="s">
        <v>26</v>
      </c>
    </row>
    <row r="5" spans="1:17" x14ac:dyDescent="0.25">
      <c r="A5" t="s">
        <v>68</v>
      </c>
      <c r="B5" s="2" t="str">
        <f>IF(ISNA(_xlfn.XMATCH(A5,PURCHASE!$A:$A)),"先入料",_xlfn.XLOOKUP(A5,PURCHASE!A:A,PURCHASE!B:B))</f>
        <v>C</v>
      </c>
      <c r="C5" s="2" cm="1">
        <f t="array" ref="C5">IF(ISNA(_xlfn.XMATCH(A5,PURCHASE!$A:$A)),"先入料",SUMPRODUCT((PURCHASE!$A$2:$A$997=MAIN!A5)*PURCHASE!$C$2:$C$997)-SUMPRODUCT((CONSUME!$A$2:$A$992=MAIN!A5)*CONSUME!$C$2:$C$992))</f>
        <v>0</v>
      </c>
      <c r="D5" s="2">
        <f>IF(ISNA(_xlfn.XMATCH(A5,PURCHASE!$A:$A)),"先入料",_xlfn.XLOOKUP(A5,PURCHASE!A:A,PURCHASE!D:D))</f>
        <v>0</v>
      </c>
      <c r="E5" s="4" t="str">
        <f>HYPERLINK("https://www.digikey.tw/product-detail/zh/avx-corporation/TCJU227M020R0070E/478-12408-1-ND/9645235","TCJU227M020R0070E")</f>
        <v>TCJU227M020R0070E</v>
      </c>
      <c r="F5" s="4" t="str">
        <f>HYPERLINK("https://datasheets.avx.com/TCJ.pdf","pdf")</f>
        <v>pdf</v>
      </c>
      <c r="G5" s="4"/>
      <c r="O5" t="s">
        <v>27</v>
      </c>
      <c r="Q5" s="4"/>
    </row>
    <row r="6" spans="1:17" x14ac:dyDescent="0.25">
      <c r="A6" t="s">
        <v>57</v>
      </c>
      <c r="B6" s="2" t="str">
        <f>IF(ISNA(_xlfn.XMATCH(A6,PURCHASE!$A:$A)),"先入料",_xlfn.XLOOKUP(A6,PURCHASE!A:A,PURCHASE!B:B))</f>
        <v>C</v>
      </c>
      <c r="C6" s="2" cm="1">
        <f t="array" ref="C6">IF(ISNA(_xlfn.XMATCH(A6,PURCHASE!$A:$A)),"先入料",SUMPRODUCT((PURCHASE!$A$2:$A$997=MAIN!A6)*PURCHASE!$C$2:$C$997)-SUMPRODUCT((CONSUME!$A$2:$A$992=MAIN!A6)*CONSUME!$C$2:$C$992))</f>
        <v>33</v>
      </c>
      <c r="D6" s="2" t="str">
        <f>IF(ISNA(_xlfn.XMATCH(A6,PURCHASE!$A:$A)),"先入料",_xlfn.XLOOKUP(A6,PURCHASE!A:A,PURCHASE!D:D))</f>
        <v>C3-1</v>
      </c>
      <c r="E6" s="4" t="str">
        <f>HYPERLINK("https://www.digikey.tw/product-detail/zh/tdk-corporation/C4532X7R1E106K250KA/445-3920-1-ND/1923427","C4532X7R1E106K250KA")</f>
        <v>C4532X7R1E106K250KA</v>
      </c>
      <c r="F6" s="4" t="str">
        <f>HYPERLINK("https://product.tdk.com/info/en/catalog/datasheets/mlcc_commercial_general_en.pdf?ref_disty=digikey","pdf")</f>
        <v>pdf</v>
      </c>
      <c r="H6" s="10" t="s">
        <v>29</v>
      </c>
      <c r="I6" s="13">
        <v>3</v>
      </c>
      <c r="O6" t="s">
        <v>56</v>
      </c>
    </row>
    <row r="7" spans="1:17" x14ac:dyDescent="0.25">
      <c r="A7" t="s">
        <v>32</v>
      </c>
      <c r="B7" s="2" t="str">
        <f>IF(ISNA(_xlfn.XMATCH(A7,PURCHASE!$A:$A)),"先入料",_xlfn.XLOOKUP(A7,PURCHASE!A:A,PURCHASE!B:B))</f>
        <v>EVB</v>
      </c>
      <c r="C7" s="2" cm="1">
        <f t="array" ref="C7">IF(ISNA(_xlfn.XMATCH(A7,PURCHASE!$A:$A)),"先入料",SUMPRODUCT((PURCHASE!$A$2:$A$997=MAIN!A7)*PURCHASE!$C$2:$C$997)-SUMPRODUCT((CONSUME!$A$2:$A$992=MAIN!A7)*CONSUME!$C$2:$C$992))</f>
        <v>0</v>
      </c>
      <c r="D7" s="2">
        <f>IF(ISNA(_xlfn.XMATCH(A7,PURCHASE!$A:$A)),"先入料",_xlfn.XLOOKUP(A7,PURCHASE!A:A,PURCHASE!D:D))</f>
        <v>0</v>
      </c>
      <c r="E7" s="4" t="str">
        <f>HYPERLINK("https://www.digikey.tw/product-detail/zh/analog-devices-inc/EVAL-ADXL355-PMDZ/EVAL-ADXL355-PMDZ-ND/7324256","EVAL-ADXL355-PMDZ")</f>
        <v>EVAL-ADXL355-PMDZ</v>
      </c>
      <c r="F7" s="4" t="str">
        <f>HYPERLINK("https://polarisphotonics-my.sharepoint.com/personal/bw_shiau_polarisphotonics_com/Documents/papers/Accelerometer/adxl354_adxl355.pdf","pdf")</f>
        <v>pdf</v>
      </c>
      <c r="G7" s="4" t="str">
        <f>HYPERLINK("https://polarisphotonics-my.sharepoint.com/personal/bw_shiau_polarisphotonics_com/Documents/papers/Accelerometer/ADXL355_PMOD.pdf","evb_pdf")</f>
        <v>evb_pdf</v>
      </c>
      <c r="O7" t="s">
        <v>35</v>
      </c>
    </row>
    <row r="8" spans="1:17" x14ac:dyDescent="0.25">
      <c r="A8" t="s">
        <v>80</v>
      </c>
      <c r="B8" s="2" t="str">
        <f>IF(ISNA(_xlfn.XMATCH(A8,PURCHASE!$A:$A)),"先入料",_xlfn.XLOOKUP(A8,PURCHASE!A:A,PURCHASE!B:B))</f>
        <v>C</v>
      </c>
      <c r="C8" s="2" cm="1">
        <f t="array" ref="C8">IF(ISNA(_xlfn.XMATCH(A8,PURCHASE!$A:$A)),"先入料",SUMPRODUCT((PURCHASE!$A$2:$A$997=MAIN!A8)*PURCHASE!$C$2:$C$997)-SUMPRODUCT((CONSUME!$A$2:$A$992=MAIN!A8)*CONSUME!$C$2:$C$992))</f>
        <v>30</v>
      </c>
      <c r="D8" s="2" t="str">
        <f>IF(ISNA(_xlfn.XMATCH(A8,PURCHASE!$A:$A)),"先入料",_xlfn.XLOOKUP(A8,PURCHASE!A:A,PURCHASE!D:D))</f>
        <v>C2-2</v>
      </c>
      <c r="E8" s="4" t="str">
        <f>HYPERLINK("https://www.digikey.tw/product-detail/zh/samsung-electro-mechanics/CL21A475KLCLQNC/1276-6722-1-ND/5961581","CL21A475KLCLQNC")</f>
        <v>CL21A475KLCLQNC</v>
      </c>
      <c r="F8" s="4" t="str">
        <f>HYPERLINK("https://www.samsungsem.com/resources/file/global/support/product_catalog/MLCC.pdf","pdf")</f>
        <v>pdf</v>
      </c>
      <c r="H8" s="10" t="s">
        <v>29</v>
      </c>
      <c r="I8" s="13">
        <v>9</v>
      </c>
      <c r="O8" t="s">
        <v>81</v>
      </c>
    </row>
    <row r="9" spans="1:17" x14ac:dyDescent="0.25">
      <c r="A9" t="s">
        <v>113</v>
      </c>
      <c r="B9" s="2" t="str">
        <f>IF(ISNA(_xlfn.XMATCH(A9,PURCHASE!$A:$A)),"先入料",_xlfn.XLOOKUP(A9,PURCHASE!A:A,PURCHASE!B:B))</f>
        <v>C</v>
      </c>
      <c r="C9" s="2" cm="1">
        <f t="array" ref="C9">IF(ISNA(_xlfn.XMATCH(A9,PURCHASE!$A:$A)),"先入料",SUMPRODUCT((PURCHASE!$A$2:$A$997=MAIN!A9)*PURCHASE!$C$2:$C$997)-SUMPRODUCT((CONSUME!$A$2:$A$992=MAIN!A9)*CONSUME!$C$2:$C$992))</f>
        <v>0</v>
      </c>
      <c r="D9" s="2" t="str">
        <f>IF(ISNA(_xlfn.XMATCH(A9,PURCHASE!$A:$A)),"先入料",_xlfn.XLOOKUP(A9,PURCHASE!A:A,PURCHASE!D:D))</f>
        <v>C2-1</v>
      </c>
      <c r="E9" s="4" t="str">
        <f>HYPERLINK("https://www.digikey.tw/product-detail/zh/samsung-electro-mechanics/CL21A106KAYNNNE/1276-2891-1-ND/3890977","CL21A106KAYNNNE")</f>
        <v>CL21A106KAYNNNE</v>
      </c>
      <c r="F9" s="4" t="str">
        <f>HYPERLINK("https://media.digikey.com/pdf/Data%20Sheets/Samsung%20PDFs/CL_Series_MLCC_ds.pdf.pdf","pdf")</f>
        <v>pdf</v>
      </c>
      <c r="H9" s="10" t="s">
        <v>29</v>
      </c>
      <c r="I9" s="13">
        <v>12</v>
      </c>
      <c r="O9" t="s">
        <v>465</v>
      </c>
    </row>
    <row r="10" spans="1:17" x14ac:dyDescent="0.25">
      <c r="A10" t="s">
        <v>58</v>
      </c>
      <c r="B10" s="2" t="str">
        <f>IF(ISNA(_xlfn.XMATCH(A10,PURCHASE!$A:$A)),"先入料",_xlfn.XLOOKUP(A10,PURCHASE!A:A,PURCHASE!B:B))</f>
        <v>C</v>
      </c>
      <c r="C10" s="2" cm="1">
        <f t="array" ref="C10">IF(ISNA(_xlfn.XMATCH(A10,PURCHASE!$A:$A)),"先入料",SUMPRODUCT((PURCHASE!$A$2:$A$997=MAIN!A10)*PURCHASE!$C$2:$C$997)-SUMPRODUCT((CONSUME!$A$2:$A$992=MAIN!A10)*CONSUME!$C$2:$C$992))</f>
        <v>0</v>
      </c>
      <c r="D10" s="2">
        <f>IF(ISNA(_xlfn.XMATCH(A10,PURCHASE!$A:$A)),"先入料",_xlfn.XLOOKUP(A10,PURCHASE!A:A,PURCHASE!D:D))</f>
        <v>0</v>
      </c>
      <c r="E10" s="4" t="str">
        <f>HYPERLINK("https://www.digikey.tw/product-detail/zh/tdk-corporation/C1608X7R1H103K080AA/445-1311-1-ND/567691","C1608X7R1H103K080AA")</f>
        <v>C1608X7R1H103K080AA</v>
      </c>
      <c r="F10" s="4" t="str">
        <f>HYPERLINK("https://product.tdk.com/info/en/catalog/datasheets/mlcc_commercial_general_en.pdf?ref_disty=digikey","pdf")</f>
        <v>pdf</v>
      </c>
      <c r="H10" s="10" t="s">
        <v>29</v>
      </c>
      <c r="I10" s="13">
        <v>3</v>
      </c>
      <c r="O10" t="s">
        <v>59</v>
      </c>
    </row>
    <row r="11" spans="1:17" x14ac:dyDescent="0.25">
      <c r="A11" t="s">
        <v>70</v>
      </c>
      <c r="B11" s="2" t="str">
        <f>IF(ISNA(_xlfn.XMATCH(A11,PURCHASE!$A:$A)),"先入料",_xlfn.XLOOKUP(A11,PURCHASE!A:A,PURCHASE!B:B))</f>
        <v>C</v>
      </c>
      <c r="C11" s="2" cm="1">
        <f t="array" ref="C11">IF(ISNA(_xlfn.XMATCH(A11,PURCHASE!$A:$A)),"先入料",SUMPRODUCT((PURCHASE!$A$2:$A$997=MAIN!A11)*PURCHASE!$C$2:$C$997)-SUMPRODUCT((CONSUME!$A$2:$A$992=MAIN!A11)*CONSUME!$C$2:$C$992))</f>
        <v>0</v>
      </c>
      <c r="D11" s="2">
        <f>IF(ISNA(_xlfn.XMATCH(A11,PURCHASE!$A:$A)),"先入料",_xlfn.XLOOKUP(A11,PURCHASE!A:A,PURCHASE!D:D))</f>
        <v>0</v>
      </c>
      <c r="E11" s="4" t="str">
        <f>HYPERLINK("https://www.digikey.tw/product-detail/zh/avx-corporation/06033G104ZAT2A/478-1259-1-ND/564291","06033G104ZAT2A")</f>
        <v>06033G104ZAT2A</v>
      </c>
      <c r="F11" s="4" t="str">
        <f>HYPERLINK("https://datasheets.avx.com/Y5V.pdf","pdf")</f>
        <v>pdf</v>
      </c>
      <c r="H11" s="10" t="s">
        <v>29</v>
      </c>
      <c r="I11" s="13">
        <v>3</v>
      </c>
      <c r="O11" t="s">
        <v>71</v>
      </c>
    </row>
    <row r="12" spans="1:17" x14ac:dyDescent="0.25">
      <c r="A12" t="s">
        <v>45</v>
      </c>
      <c r="B12" s="2" t="str">
        <f>IF(ISNA(_xlfn.XMATCH(A12,PURCHASE!$A:$A)),"先入料",_xlfn.XLOOKUP(A12,PURCHASE!A:A,PURCHASE!B:B))</f>
        <v>LDO</v>
      </c>
      <c r="C12" s="2" cm="1">
        <f t="array" ref="C12">IF(ISNA(_xlfn.XMATCH(A12,PURCHASE!$A:$A)),"先入料",SUMPRODUCT((PURCHASE!$A$2:$A$997=MAIN!A12)*PURCHASE!$C$2:$C$997)-SUMPRODUCT((CONSUME!$A$2:$A$992=MAIN!A12)*CONSUME!$C$2:$C$992))</f>
        <v>0</v>
      </c>
      <c r="D12" s="2">
        <f>IF(ISNA(_xlfn.XMATCH(A12,PURCHASE!$A:$A)),"先入料",_xlfn.XLOOKUP(A12,PURCHASE!A:A,PURCHASE!D:D))</f>
        <v>0</v>
      </c>
      <c r="E12" s="4" t="str">
        <f>HYPERLINK("https://www.digikey.tw/product-detail/zh/texas-instruments/LM2990SX-12-NOPB/LM2990SX-12-NOPBCT-ND/3526939","LM2990SX-12/NOPB")</f>
        <v>LM2990SX-12/NOPB</v>
      </c>
      <c r="F12" s="4" t="str">
        <f>HYPERLINK("https://polarisphotonics-my.sharepoint.com/personal/bw_shiau_polarisphotonics_com/Documents/papers/IC/LDO/LM2990.pdf","pdf")</f>
        <v>pdf</v>
      </c>
      <c r="O12" s="9" t="s">
        <v>82</v>
      </c>
    </row>
    <row r="13" spans="1:17" x14ac:dyDescent="0.25">
      <c r="A13" t="s">
        <v>46</v>
      </c>
      <c r="B13" s="2" t="str">
        <f>IF(ISNA(_xlfn.XMATCH(A13,PURCHASE!$A:$A)),"先入料",_xlfn.XLOOKUP(A13,PURCHASE!A:A,PURCHASE!B:B))</f>
        <v>LDO</v>
      </c>
      <c r="C13" s="2" cm="1">
        <f t="array" ref="C13">IF(ISNA(_xlfn.XMATCH(A13,PURCHASE!$A:$A)),"先入料",SUMPRODUCT((PURCHASE!$A$2:$A$997=MAIN!A13)*PURCHASE!$C$2:$C$997)-SUMPRODUCT((CONSUME!$A$2:$A$992=MAIN!A13)*CONSUME!$C$2:$C$992))</f>
        <v>0</v>
      </c>
      <c r="D13" s="2">
        <f>IF(ISNA(_xlfn.XMATCH(A13,PURCHASE!$A:$A)),"先入料",_xlfn.XLOOKUP(A13,PURCHASE!A:A,PURCHASE!D:D))</f>
        <v>0</v>
      </c>
      <c r="E13" s="4" t="str">
        <f>HYPERLINK("https://www.digikey.tw/product-detail/zh/texas-instruments/LM2991SX-NOPB/LM2991SX-NOPBCT-ND/2139029","LM2991SX/NOPB")</f>
        <v>LM2991SX/NOPB</v>
      </c>
      <c r="F13" s="4" t="str">
        <f>HYPERLINK("https://polarisphotonics-my.sharepoint.com/personal/bw_shiau_polarisphotonics_com/Documents/papers/IC/LDO/LM2991.pdf","pdf")</f>
        <v>pdf</v>
      </c>
      <c r="O13" t="s">
        <v>47</v>
      </c>
    </row>
    <row r="14" spans="1:17" x14ac:dyDescent="0.25">
      <c r="A14" t="s">
        <v>72</v>
      </c>
      <c r="B14" s="2" t="str">
        <f>IF(ISNA(_xlfn.XMATCH(A14,PURCHASE!$A:$A)),"先入料",_xlfn.XLOOKUP(A14,PURCHASE!A:A,PURCHASE!B:B))</f>
        <v>C</v>
      </c>
      <c r="C14" s="2" cm="1">
        <f t="array" ref="C14">IF(ISNA(_xlfn.XMATCH(A14,PURCHASE!$A:$A)),"先入料",SUMPRODUCT((PURCHASE!$A$2:$A$997=MAIN!A14)*PURCHASE!$C$2:$C$997)-SUMPRODUCT((CONSUME!$A$2:$A$992=MAIN!A14)*CONSUME!$C$2:$C$992))</f>
        <v>0</v>
      </c>
      <c r="D14" s="2">
        <f>IF(ISNA(_xlfn.XMATCH(A14,PURCHASE!$A:$A)),"先入料",_xlfn.XLOOKUP(A14,PURCHASE!A:A,PURCHASE!D:D))</f>
        <v>0</v>
      </c>
      <c r="E14" s="4" t="str">
        <f>HYPERLINK("https://www.digikey.tw/product-detail/zh/samsung-electro-mechanics/CL10B474KA8NFNC/1276-2082-1-ND/3890168","CL10B474KA8NFNC")</f>
        <v>CL10B474KA8NFNC</v>
      </c>
      <c r="F14" s="4" t="str">
        <f>HYPERLINK("https://media.digikey.com/pdf/Data%20Sheets/Samsung%20PDFs/CL_Series_MLCC_ds.pdf","pdf")</f>
        <v>pdf</v>
      </c>
      <c r="H14" s="10" t="s">
        <v>29</v>
      </c>
      <c r="I14" s="13">
        <v>3</v>
      </c>
      <c r="O14" t="s">
        <v>73</v>
      </c>
    </row>
    <row r="15" spans="1:17" x14ac:dyDescent="0.25">
      <c r="A15" t="s">
        <v>78</v>
      </c>
      <c r="B15" s="2" t="str">
        <f>IF(ISNA(_xlfn.XMATCH(A15,PURCHASE!$A:$A)),"先入料",_xlfn.XLOOKUP(A15,PURCHASE!A:A,PURCHASE!B:B))</f>
        <v>C</v>
      </c>
      <c r="C15" s="2" cm="1">
        <f t="array" ref="C15">IF(ISNA(_xlfn.XMATCH(A15,PURCHASE!$A:$A)),"先入料",SUMPRODUCT((PURCHASE!$A$2:$A$997=MAIN!A15)*PURCHASE!$C$2:$C$997)-SUMPRODUCT((CONSUME!$A$2:$A$992=MAIN!A15)*CONSUME!$C$2:$C$992))</f>
        <v>0</v>
      </c>
      <c r="D15" s="2">
        <f>IF(ISNA(_xlfn.XMATCH(A15,PURCHASE!$A:$A)),"先入料",_xlfn.XLOOKUP(A15,PURCHASE!A:A,PURCHASE!D:D))</f>
        <v>0</v>
      </c>
      <c r="E15" s="4" t="str">
        <f>HYPERLINK("https://www.digikey.tw/product-detail/zh/samsung-electro-mechanics/CL10A105KA8NNNC/1276-1102-1-ND/3889188","CL10A105KA8NNNC")</f>
        <v>CL10A105KA8NNNC</v>
      </c>
      <c r="F15" s="4" t="str">
        <f>HYPERLINK("https://www.samsungsem.com/resources/file/global/support/product_catalog/MLCC.pdf","pdf")</f>
        <v>pdf</v>
      </c>
      <c r="H15" s="10" t="s">
        <v>668</v>
      </c>
      <c r="I15" s="13">
        <v>5</v>
      </c>
      <c r="N15" s="13">
        <v>2</v>
      </c>
      <c r="O15" t="s">
        <v>79</v>
      </c>
    </row>
    <row r="16" spans="1:17" x14ac:dyDescent="0.25">
      <c r="A16" t="s">
        <v>193</v>
      </c>
      <c r="B16" s="2" t="str">
        <f>IF(ISNA(_xlfn.XMATCH(A16,PURCHASE!$A:$A)),"先入料",_xlfn.XLOOKUP(A16,PURCHASE!A:A,PURCHASE!B:B))</f>
        <v>C</v>
      </c>
      <c r="C16" s="2" cm="1">
        <f t="array" ref="C16">IF(ISNA(_xlfn.XMATCH(A16,PURCHASE!$A:$A)),"先入料",SUMPRODUCT((PURCHASE!$A$2:$A$997=MAIN!A16)*PURCHASE!$C$2:$C$997)-SUMPRODUCT((CONSUME!$A$2:$A$992=MAIN!A16)*CONSUME!$C$2:$C$992))</f>
        <v>0</v>
      </c>
      <c r="D16" s="2">
        <f>IF(ISNA(_xlfn.XMATCH(A16,PURCHASE!$A:$A)),"先入料",_xlfn.XLOOKUP(A16,PURCHASE!A:A,PURCHASE!D:D))</f>
        <v>0</v>
      </c>
      <c r="E16" s="4" t="str">
        <f>HYPERLINK("https://www.digikey.tw/product-detail/zh/taiyo-yuden/TMK107ABJ225KA-T/587-2909-1-ND/2649029","TMK107ABJ225KA-T")</f>
        <v>TMK107ABJ225KA-T</v>
      </c>
      <c r="F16" s="4" t="str">
        <f>HYPERLINK("https://ds.yuden.co.jp/TYCOMPAS/ut/detail?pn=TMK107ABJ225KA-T%20%20&amp;u=M","spec")</f>
        <v>spec</v>
      </c>
      <c r="H16" s="10" t="s">
        <v>668</v>
      </c>
      <c r="I16" s="13">
        <v>1</v>
      </c>
      <c r="N16" s="13">
        <v>1</v>
      </c>
      <c r="O16" t="s">
        <v>194</v>
      </c>
    </row>
    <row r="17" spans="1:17" x14ac:dyDescent="0.25">
      <c r="A17" t="s">
        <v>93</v>
      </c>
      <c r="B17" s="2" t="str">
        <f>IF(ISNA(_xlfn.XMATCH(A17,PURCHASE!$A:$A)),"先入料",_xlfn.XLOOKUP(A17,PURCHASE!A:A,PURCHASE!B:B))</f>
        <v>CON</v>
      </c>
      <c r="C17" s="2" cm="1">
        <f t="array" ref="C17">IF(ISNA(_xlfn.XMATCH(A17,PURCHASE!$A:$A)),"先入料",SUMPRODUCT((PURCHASE!$A$2:$A$997=MAIN!A17)*PURCHASE!$C$2:$C$997)-SUMPRODUCT((CONSUME!$A$2:$A$992=MAIN!A17)*CONSUME!$C$2:$C$992))</f>
        <v>10</v>
      </c>
      <c r="D17" s="2" t="str">
        <f>IF(ISNA(_xlfn.XMATCH(A17,PURCHASE!$A:$A)),"先入料",_xlfn.XLOOKUP(A17,PURCHASE!A:A,PURCHASE!D:D))</f>
        <v>D1-1</v>
      </c>
      <c r="E17" s="4" t="str">
        <f>HYPERLINK("https://www.digikey.tw/product-detail/zh/cui-devices/PJ-036AH-SMT-TR/CP-036AHPJCT-ND/1530994", "PJ-036AH-SMT-TR")</f>
        <v>PJ-036AH-SMT-TR</v>
      </c>
      <c r="F17" s="4" t="str">
        <f>HYPERLINK("https://www.cuidevices.com/product/resource/digikeypdf/pj-036ah-smt-tr.pdf","pdf")</f>
        <v>pdf</v>
      </c>
      <c r="H17" s="10" t="s">
        <v>91</v>
      </c>
      <c r="I17" s="13">
        <v>1</v>
      </c>
      <c r="O17" t="s">
        <v>92</v>
      </c>
    </row>
    <row r="18" spans="1:17" x14ac:dyDescent="0.25">
      <c r="A18" t="s">
        <v>94</v>
      </c>
      <c r="B18" s="2" t="str">
        <f>IF(ISNA(_xlfn.XMATCH(A18,PURCHASE!$A:$A)),"先入料",_xlfn.XLOOKUP(A18,PURCHASE!A:A,PURCHASE!B:B))</f>
        <v>CON</v>
      </c>
      <c r="C18" s="2" cm="1">
        <f t="array" ref="C18">IF(ISNA(_xlfn.XMATCH(A18,PURCHASE!$A:$A)),"先入料",SUMPRODUCT((PURCHASE!$A$2:$A$997=MAIN!A18)*PURCHASE!$C$2:$C$997)-SUMPRODUCT((CONSUME!$A$2:$A$992=MAIN!A18)*CONSUME!$C$2:$C$992))</f>
        <v>49</v>
      </c>
      <c r="D18" s="2" t="str">
        <f>IF(ISNA(_xlfn.XMATCH(A18,PURCHASE!$A:$A)),"先入料",_xlfn.XLOOKUP(A18,PURCHASE!A:A,PURCHASE!D:D))</f>
        <v>塑膠盒、電路抽屜</v>
      </c>
      <c r="E18" s="4" t="str">
        <f>HYPERLINK("https://shop.cpu.com.tw/product/53891/info/", "282834-2")</f>
        <v>282834-2</v>
      </c>
      <c r="F18" s="4" t="str">
        <f>HYPERLINK("https://polarisphotonics-my.sharepoint.com/personal/bw_shiau_polarisphotonics_com/Documents/papers/IC/CONN/terminalBlock_282834.pdf","pdf")</f>
        <v>pdf</v>
      </c>
      <c r="H18" s="10" t="s">
        <v>668</v>
      </c>
      <c r="I18" s="13">
        <v>1</v>
      </c>
      <c r="N18" s="13">
        <v>3</v>
      </c>
      <c r="O18" t="s">
        <v>95</v>
      </c>
    </row>
    <row r="19" spans="1:17" x14ac:dyDescent="0.25">
      <c r="A19" t="s">
        <v>62</v>
      </c>
      <c r="B19" s="2" t="str">
        <f>IF(ISNA(_xlfn.XMATCH(A19,PURCHASE!$A:$A)),"先入料",_xlfn.XLOOKUP(A19,PURCHASE!A:A,PURCHASE!B:B))</f>
        <v>D</v>
      </c>
      <c r="C19" s="2" cm="1">
        <f t="array" ref="C19">IF(ISNA(_xlfn.XMATCH(A19,PURCHASE!$A:$A)),"先入料",SUMPRODUCT((PURCHASE!$A$2:$A$997=MAIN!A19)*PURCHASE!$C$2:$C$997)-SUMPRODUCT((CONSUME!$A$2:$A$992=MAIN!A19)*CONSUME!$C$2:$C$992))</f>
        <v>0</v>
      </c>
      <c r="D19" s="2">
        <f>IF(ISNA(_xlfn.XMATCH(A19,PURCHASE!$A:$A)),"先入料",_xlfn.XLOOKUP(A19,PURCHASE!A:A,PURCHASE!D:D))</f>
        <v>0</v>
      </c>
      <c r="E19" s="4" t="str">
        <f>HYPERLINK("https://www.digikey.tw/product-detail/zh/diodes-incorporated/B340A-13-F/B340A-FDICT-ND/725054","B340A-13-F")</f>
        <v>B340A-13-F</v>
      </c>
      <c r="F19" s="4" t="str">
        <f>HYPERLINK("https://www.diodes.com/assets/Datasheets/ds30891.pdf","pdf")</f>
        <v>pdf</v>
      </c>
      <c r="H19" s="10" t="s">
        <v>29</v>
      </c>
      <c r="I19" s="13">
        <v>0</v>
      </c>
      <c r="O19" t="s">
        <v>63</v>
      </c>
      <c r="Q19" s="7"/>
    </row>
    <row r="20" spans="1:17" x14ac:dyDescent="0.25">
      <c r="A20" t="s">
        <v>96</v>
      </c>
      <c r="B20" s="2" t="str">
        <f>IF(ISNA(_xlfn.XMATCH(A20,PURCHASE!$A:$A)),"先入料",_xlfn.XLOOKUP(A20,PURCHASE!A:A,PURCHASE!B:B))</f>
        <v>CON</v>
      </c>
      <c r="C20" s="2" cm="1">
        <f t="array" ref="C20">IF(ISNA(_xlfn.XMATCH(A20,PURCHASE!$A:$A)),"先入料",SUMPRODUCT((PURCHASE!$A$2:$A$997=MAIN!A20)*PURCHASE!$C$2:$C$997)-SUMPRODUCT((CONSUME!$A$2:$A$992=MAIN!A20)*CONSUME!$C$2:$C$992))</f>
        <v>25</v>
      </c>
      <c r="D20" s="2" t="str">
        <f>IF(ISNA(_xlfn.XMATCH(A20,PURCHASE!$A:$A)),"先入料",_xlfn.XLOOKUP(A20,PURCHASE!A:A,PURCHASE!D:D))</f>
        <v>塑膠盒、電路抽屜</v>
      </c>
      <c r="E20" s="4" t="str">
        <f>HYPERLINK("https://shop.cpu.com.tw/product/53892/info/", "282834-3")</f>
        <v>282834-3</v>
      </c>
      <c r="F20" s="4" t="str">
        <f>HYPERLINK("https://polarisphotonics-my.sharepoint.com/personal/bw_shiau_polarisphotonics_com/Documents/papers/IC/CONN/terminalBlock_282834.pdf","pdf")</f>
        <v>pdf</v>
      </c>
      <c r="H20" s="10" t="s">
        <v>668</v>
      </c>
      <c r="I20" s="13">
        <v>9</v>
      </c>
      <c r="N20" s="13">
        <v>2</v>
      </c>
      <c r="O20" t="s">
        <v>97</v>
      </c>
    </row>
    <row r="21" spans="1:17" x14ac:dyDescent="0.25">
      <c r="A21" t="s">
        <v>137</v>
      </c>
      <c r="B21" s="2" t="str">
        <f>IF(ISNA(_xlfn.XMATCH(A21,PURCHASE!$A:$A)),"先入料",_xlfn.XLOOKUP(A21,PURCHASE!A:A,PURCHASE!B:B))</f>
        <v>D</v>
      </c>
      <c r="C21" s="2" cm="1">
        <f t="array" ref="C21">IF(ISNA(_xlfn.XMATCH(A21,PURCHASE!$A:$A)),"先入料",SUMPRODUCT((PURCHASE!$A$2:$A$997=MAIN!A21)*PURCHASE!$C$2:$C$997)-SUMPRODUCT((CONSUME!$A$2:$A$992=MAIN!A21)*CONSUME!$C$2:$C$992))</f>
        <v>8</v>
      </c>
      <c r="D21" s="2" t="str">
        <f>IF(ISNA(_xlfn.XMATCH(A21,PURCHASE!$A:$A)),"先入料",_xlfn.XLOOKUP(A21,PURCHASE!A:A,PURCHASE!D:D))</f>
        <v>D4-2</v>
      </c>
      <c r="E21" s="4" t="str">
        <f>HYPERLINK("https://www.digikey.tw/product-detail/zh/nexperia-usa-inc/BAT721S-215/1727-3574-1-ND/1127209","BAT721S")</f>
        <v>BAT721S</v>
      </c>
      <c r="F21" s="4" t="str">
        <f>HYPERLINK("https://assets.nexperia.com/documents/data-sheet/1PS76SB21_BAT721_SER.pdf","pdf")</f>
        <v>pdf</v>
      </c>
      <c r="H21" s="10" t="s">
        <v>668</v>
      </c>
      <c r="I21" s="13">
        <v>1</v>
      </c>
      <c r="N21" s="13">
        <v>1</v>
      </c>
      <c r="O21" t="s">
        <v>138</v>
      </c>
    </row>
    <row r="22" spans="1:17" x14ac:dyDescent="0.25">
      <c r="A22" t="s">
        <v>146</v>
      </c>
      <c r="B22" s="2" t="str">
        <f>IF(ISNA(_xlfn.XMATCH(A22,PURCHASE!$A:$A)),"先入料",_xlfn.XLOOKUP(A22,PURCHASE!A:A,PURCHASE!B:B))</f>
        <v>D</v>
      </c>
      <c r="C22" s="2" cm="1">
        <f t="array" ref="C22">IF(ISNA(_xlfn.XMATCH(A22,PURCHASE!$A:$A)),"先入料",SUMPRODUCT((PURCHASE!$A$2:$A$997=MAIN!A22)*PURCHASE!$C$2:$C$997)-SUMPRODUCT((CONSUME!$A$2:$A$992=MAIN!A22)*CONSUME!$C$2:$C$992))</f>
        <v>101</v>
      </c>
      <c r="D22" s="2" t="str">
        <f>IF(ISNA(_xlfn.XMATCH(A22,PURCHASE!$A:$A)),"先入料",_xlfn.XLOOKUP(A22,PURCHASE!A:A,PURCHASE!D:D))</f>
        <v>D4-1</v>
      </c>
      <c r="E22" s="4" t="str">
        <f>HYPERLINK("https://www.digikey.tw/product-detail/zh/comchip-technology/CDBA340-G/641-1101-1-ND/1559062","CDBA340-G")</f>
        <v>CDBA340-G</v>
      </c>
      <c r="F22" s="4" t="str">
        <f>HYPERLINK("https://media.digikey.com/pdf/Data%20Sheets/Comchip%20PDFs/CDBA320-G_~_CDBA3100-G.pdf","pdf")</f>
        <v>pdf</v>
      </c>
      <c r="H22" s="10" t="s">
        <v>29</v>
      </c>
      <c r="I22" s="13">
        <v>2</v>
      </c>
      <c r="O22" t="s">
        <v>147</v>
      </c>
    </row>
    <row r="23" spans="1:17" x14ac:dyDescent="0.25">
      <c r="A23" t="s">
        <v>33</v>
      </c>
      <c r="B23" s="2" t="str">
        <f>IF(ISNA(_xlfn.XMATCH(A23,PURCHASE!$A:$A)),"先入料",_xlfn.XLOOKUP(A23,PURCHASE!A:A,PURCHASE!B:B))</f>
        <v>EVB</v>
      </c>
      <c r="C23" s="2" cm="1">
        <f t="array" ref="C23">IF(ISNA(_xlfn.XMATCH(A23,PURCHASE!$A:$A)),"先入料",SUMPRODUCT((PURCHASE!$A$2:$A$997=MAIN!A23)*PURCHASE!$C$2:$C$997)-SUMPRODUCT((CONSUME!$A$2:$A$992=MAIN!A23)*CONSUME!$C$2:$C$992))</f>
        <v>8</v>
      </c>
      <c r="D23" s="2" t="str">
        <f>IF(ISNA(_xlfn.XMATCH(A23,PURCHASE!$A:$A)),"先入料",_xlfn.XLOOKUP(A23,PURCHASE!A:A,PURCHASE!D:D))</f>
        <v>防潮櫃</v>
      </c>
      <c r="E23" s="4" t="str">
        <f>HYPERLINK("https://www.digikey.tw/product-detail/zh/analog-devices-inc/EVAL-ADXL355Z/EVAL-ADXL355Z-ND/6557295","EVAL-ADXL355Z")</f>
        <v>EVAL-ADXL355Z</v>
      </c>
      <c r="F23" s="4" t="str">
        <f>HYPERLINK("https://polarisphotonics-my.sharepoint.com/personal/bw_shiau_polarisphotonics_com/Documents/papers/MEMS Sensor/Accelerometer/adxl354_adxl355.pdf","pdf")</f>
        <v>pdf</v>
      </c>
      <c r="G23" s="4" t="str">
        <f>HYPERLINK("https://polarisphotonics-my.sharepoint.com/personal/bw_shiau_polarisphotonics_com/Documents/papers/MEMS Sensor/Accelerometer/EVAL-ADXL354-355-UG-1030.pdf","evb_pdf")</f>
        <v>evb_pdf</v>
      </c>
      <c r="H23" s="10" t="s">
        <v>668</v>
      </c>
      <c r="I23" s="13">
        <v>1</v>
      </c>
      <c r="N23" s="13">
        <v>1</v>
      </c>
      <c r="O23" t="s">
        <v>36</v>
      </c>
    </row>
    <row r="24" spans="1:17" x14ac:dyDescent="0.25">
      <c r="A24" t="s">
        <v>114</v>
      </c>
      <c r="B24" s="2" t="str">
        <f>IF(ISNA(_xlfn.XMATCH(A24,PURCHASE!$A:$A)),"先入料",_xlfn.XLOOKUP(A24,PURCHASE!A:A,PURCHASE!B:B))</f>
        <v>EVB</v>
      </c>
      <c r="C24" s="2" cm="1">
        <f t="array" ref="C24">IF(ISNA(_xlfn.XMATCH(A24,PURCHASE!$A:$A)),"先入料",SUMPRODUCT((PURCHASE!$A$2:$A$997=MAIN!A24)*PURCHASE!$C$2:$C$997)-SUMPRODUCT((CONSUME!$A$2:$A$992=MAIN!A24)*CONSUME!$C$2:$C$992))</f>
        <v>7</v>
      </c>
      <c r="D24" s="2" t="str">
        <f>IF(ISNA(_xlfn.XMATCH(A24,PURCHASE!$A:$A)),"先入料",_xlfn.XLOOKUP(A24,PURCHASE!A:A,PURCHASE!D:D))</f>
        <v>B6</v>
      </c>
      <c r="E24" s="4" t="str">
        <f>HYPERLINK("https://www.digikey.tw/product-detail/zh/arduino/ABX00027/1050-ABX00027-ND/10239968","ABX00027")</f>
        <v>ABX00027</v>
      </c>
      <c r="F24" s="4" t="str">
        <f>HYPERLINK("https://polarisphotonics-my.sharepoint.com/personal/bw_shiau_polarisphotonics_com/Documents/papers/MCU/Atmel-42181-SAM-D21_Datasheet.pdf","pdf")</f>
        <v>pdf</v>
      </c>
      <c r="G24" s="4" t="str">
        <f>HYPERLINK("https://media.digikey.com/pdf/Data%20Sheets/Arduino%20PDFs/ABX00027_Web.pdf","evb_pdf")</f>
        <v>evb_pdf</v>
      </c>
      <c r="H24" s="10" t="s">
        <v>668</v>
      </c>
      <c r="I24" s="13">
        <v>1</v>
      </c>
      <c r="N24" s="13">
        <v>1</v>
      </c>
      <c r="O24" t="s">
        <v>116</v>
      </c>
    </row>
    <row r="25" spans="1:17" x14ac:dyDescent="0.25">
      <c r="A25" t="s">
        <v>117</v>
      </c>
      <c r="B25" s="2" t="str">
        <f>IF(ISNA(_xlfn.XMATCH(A25,PURCHASE!$A:$A)),"先入料",_xlfn.XLOOKUP(A25,PURCHASE!A:A,PURCHASE!B:B))</f>
        <v>EVB</v>
      </c>
      <c r="C25" s="2" cm="1">
        <f t="array" ref="C25">IF(ISNA(_xlfn.XMATCH(A25,PURCHASE!$A:$A)),"先入料",SUMPRODUCT((PURCHASE!$A$2:$A$997=MAIN!A25)*PURCHASE!$C$2:$C$997)-SUMPRODUCT((CONSUME!$A$2:$A$992=MAIN!A25)*CONSUME!$C$2:$C$992))</f>
        <v>0</v>
      </c>
      <c r="D25" s="2">
        <f>IF(ISNA(_xlfn.XMATCH(A25,PURCHASE!$A:$A)),"先入料",_xlfn.XLOOKUP(A25,PURCHASE!A:A,PURCHASE!D:D))</f>
        <v>0</v>
      </c>
      <c r="E25" s="4" t="str">
        <f>HYPERLINK("https://www.taiwansensor.com.tw/product/hc-05-%E8%97%8D%E8%8A%BD-2-0-%E4%B8%BB%E5%BE%9E%E6%A9%9F%E4%B8%80%E9%AB%94%E7%84%A1%E7%B7%9A%E5%82%B3%E8%BC%B8%E4%B8%B2%E5%8F%A3%E6%A8%A1%E7%B5%84-csr-%E6%AD%A3%E5%BB%A0%E6%99%B6%E7%89%87/","HC-05")</f>
        <v>HC-05</v>
      </c>
      <c r="F25" s="4" t="str">
        <f>HYPERLINK("https://polarisphotonics-my.sharepoint.com/personal/bw_shiau_polarisphotonics_com/Documents/papers/HC-05/ADIO-HC-05-1.pdf","pdf")</f>
        <v>pdf</v>
      </c>
      <c r="G25" s="4" t="str">
        <f>HYPERLINK("https://polarisphotonics-my.sharepoint.com/personal/bw_shiau_polarisphotonics_com/Documents/papers/HC-05/HC-05_AT.txt","arduino code")</f>
        <v>arduino code</v>
      </c>
      <c r="H25" s="10" t="s">
        <v>115</v>
      </c>
      <c r="I25" s="13">
        <v>1</v>
      </c>
      <c r="O25" t="s">
        <v>118</v>
      </c>
    </row>
    <row r="26" spans="1:17" x14ac:dyDescent="0.25">
      <c r="A26" t="s">
        <v>64</v>
      </c>
      <c r="B26" s="2" t="str">
        <f>IF(ISNA(_xlfn.XMATCH(A26,PURCHASE!$A:$A)),"先入料",_xlfn.XLOOKUP(A26,PURCHASE!A:A,PURCHASE!B:B))</f>
        <v>L</v>
      </c>
      <c r="C26" s="2" cm="1">
        <f t="array" ref="C26">IF(ISNA(_xlfn.XMATCH(A26,PURCHASE!$A:$A)),"先入料",SUMPRODUCT((PURCHASE!$A$2:$A$997=MAIN!A26)*PURCHASE!$C$2:$C$997)-SUMPRODUCT((CONSUME!$A$2:$A$992=MAIN!A26)*CONSUME!$C$2:$C$992))</f>
        <v>22</v>
      </c>
      <c r="D26" s="2" t="str">
        <f>IF(ISNA(_xlfn.XMATCH(A26,PURCHASE!$A:$A)),"先入料",_xlfn.XLOOKUP(A26,PURCHASE!A:A,PURCHASE!D:D))</f>
        <v>D2-1</v>
      </c>
      <c r="E26" s="4" t="str">
        <f>HYPERLINK("https://www.digikey.tw/product-detail/zh/w%C3%BCrth-elektronik/7447714220/732-2992-1-ND/2626116","7447714220")</f>
        <v>7447714220</v>
      </c>
      <c r="F26" s="4" t="str">
        <f>HYPERLINK("https://www.we-online.de/katalog/datasheet/7447714220.pdf","pdf")</f>
        <v>pdf</v>
      </c>
      <c r="G26" s="4"/>
      <c r="H26" s="10" t="s">
        <v>29</v>
      </c>
      <c r="I26" s="13">
        <v>2</v>
      </c>
      <c r="O26" t="s">
        <v>67</v>
      </c>
    </row>
    <row r="27" spans="1:17" x14ac:dyDescent="0.25">
      <c r="A27" t="s">
        <v>134</v>
      </c>
      <c r="B27" s="2" t="str">
        <f>IF(ISNA(_xlfn.XMATCH(A27,PURCHASE!$A:$A)),"先入料",_xlfn.XLOOKUP(A27,PURCHASE!A:A,PURCHASE!B:B))</f>
        <v>OP</v>
      </c>
      <c r="C27" s="2" cm="1">
        <f t="array" ref="C27">IF(ISNA(_xlfn.XMATCH(A27,PURCHASE!$A:$A)),"先入料",SUMPRODUCT((PURCHASE!$A$2:$A$997=MAIN!A27)*PURCHASE!$C$2:$C$997)-SUMPRODUCT((CONSUME!$A$2:$A$992=MAIN!A27)*CONSUME!$C$2:$C$992))</f>
        <v>0</v>
      </c>
      <c r="D27" s="2">
        <f>IF(ISNA(_xlfn.XMATCH(A27,PURCHASE!$A:$A)),"先入料",_xlfn.XLOOKUP(A27,PURCHASE!A:A,PURCHASE!D:D))</f>
        <v>0</v>
      </c>
      <c r="E27" s="4" t="str">
        <f>HYPERLINK("https://www.digikey.tw/product-detail/zh/on-semiconductor/LM2903DR2G/LM2903DR2GOSCT-ND/917931", "LM2903DR2G")</f>
        <v>LM2903DR2G</v>
      </c>
      <c r="F27" s="4" t="str">
        <f>HYPERLINK("https://polarisphotonics-my.sharepoint.com/personal/bw_shiau_polarisphotonics_com/Documents/papers/IC/OP/LM2903.pdf","pdf")</f>
        <v>pdf</v>
      </c>
      <c r="I27" s="13">
        <v>1</v>
      </c>
      <c r="O27" t="s">
        <v>87</v>
      </c>
    </row>
    <row r="28" spans="1:17" x14ac:dyDescent="0.25">
      <c r="A28" t="s">
        <v>48</v>
      </c>
      <c r="B28" s="2" t="str">
        <f>IF(ISNA(_xlfn.XMATCH(A28,PURCHASE!$A:$A)),"先入料",_xlfn.XLOOKUP(A28,PURCHASE!A:A,PURCHASE!B:B))</f>
        <v>LDO</v>
      </c>
      <c r="C28" s="2" cm="1">
        <f t="array" ref="C28">IF(ISNA(_xlfn.XMATCH(A28,PURCHASE!$A:$A)),"先入料",SUMPRODUCT((PURCHASE!$A$2:$A$997=MAIN!A28)*PURCHASE!$C$2:$C$997)-SUMPRODUCT((CONSUME!$A$2:$A$992=MAIN!A28)*CONSUME!$C$2:$C$992))</f>
        <v>0</v>
      </c>
      <c r="D28" s="2">
        <f>IF(ISNA(_xlfn.XMATCH(A28,PURCHASE!$A:$A)),"先入料",_xlfn.XLOOKUP(A28,PURCHASE!A:A,PURCHASE!D:D))</f>
        <v>0</v>
      </c>
      <c r="E28" s="4" t="str">
        <f>HYPERLINK("https://www.digikey.tw/product-detail/zh/diodes-incorporated/ZLDO1117GTA/ZLDO1117GDICT-ND/2095614","ZLDO1117GTA")</f>
        <v>ZLDO1117GTA</v>
      </c>
      <c r="F28" s="4" t="str">
        <f>HYPERLINK("https://polarisphotonics-my.sharepoint.com/personal/bw_shiau_polarisphotonics_com/Documents/papers/IC/LDO/ZLDO1117.pdf","pdf")</f>
        <v>pdf</v>
      </c>
      <c r="O28" t="s">
        <v>44</v>
      </c>
    </row>
    <row r="29" spans="1:17" x14ac:dyDescent="0.25">
      <c r="A29" t="s">
        <v>191</v>
      </c>
      <c r="B29" s="2" t="str">
        <f>IF(ISNA(_xlfn.XMATCH(A29,PURCHASE!$A:$A)),"先入料",_xlfn.XLOOKUP(A29,PURCHASE!A:A,PURCHASE!B:B))</f>
        <v>L</v>
      </c>
      <c r="C29" s="2" cm="1">
        <f t="array" ref="C29">IF(ISNA(_xlfn.XMATCH(A29,PURCHASE!$A:$A)),"先入料",SUMPRODUCT((PURCHASE!$A$2:$A$997=MAIN!A29)*PURCHASE!$C$2:$C$997)-SUMPRODUCT((CONSUME!$A$2:$A$992=MAIN!A29)*CONSUME!$C$2:$C$992))</f>
        <v>100</v>
      </c>
      <c r="D29" s="2" t="str">
        <f>IF(ISNA(_xlfn.XMATCH(A29,PURCHASE!$A:$A)),"先入料",_xlfn.XLOOKUP(A29,PURCHASE!A:A,PURCHASE!D:D))</f>
        <v>D3-1</v>
      </c>
      <c r="E29" s="4" t="str">
        <f>HYPERLINK("https://www.digikey.tw/product-detail/zh/w%C3%BCrth-elektronik/742792040/732-1620-1-ND/1639564","742792040")</f>
        <v>742792040</v>
      </c>
      <c r="F29" s="4" t="str">
        <f>HYPERLINK("https://www.we-online.de/katalog/datasheet/742792040.pdf","pdf")</f>
        <v>pdf</v>
      </c>
      <c r="H29" s="10" t="s">
        <v>468</v>
      </c>
      <c r="I29" s="13">
        <v>1</v>
      </c>
      <c r="J29" s="13">
        <v>7</v>
      </c>
      <c r="K29" s="13">
        <v>4</v>
      </c>
      <c r="O29" t="s">
        <v>192</v>
      </c>
    </row>
    <row r="30" spans="1:17" x14ac:dyDescent="0.25">
      <c r="A30" t="s">
        <v>83</v>
      </c>
      <c r="B30" s="2" t="str">
        <f>IF(ISNA(_xlfn.XMATCH(A30,PURCHASE!$A:$A)),"先入料",_xlfn.XLOOKUP(A30,PURCHASE!A:A,PURCHASE!B:B))</f>
        <v>LDO</v>
      </c>
      <c r="C30" s="2" cm="1">
        <f t="array" ref="C30">IF(ISNA(_xlfn.XMATCH(A30,PURCHASE!$A:$A)),"先入料",SUMPRODUCT((PURCHASE!$A$2:$A$997=MAIN!A30)*PURCHASE!$C$2:$C$997)-SUMPRODUCT((CONSUME!$A$2:$A$992=MAIN!A30)*CONSUME!$C$2:$C$992))</f>
        <v>9</v>
      </c>
      <c r="D30" s="2" t="str">
        <f>IF(ISNA(_xlfn.XMATCH(A30,PURCHASE!$A:$A)),"先入料",_xlfn.XLOOKUP(A30,PURCHASE!A:A,PURCHASE!D:D))</f>
        <v>B3-2</v>
      </c>
      <c r="E30" s="4" t="str">
        <f>HYPERLINK("https://www.digikey.tw/product-detail/zh/diodes-incorporated/ZLDO1117G50TA/ZLDO1117G50DICT-ND/2095613", "ZLDO1117G50TA")</f>
        <v>ZLDO1117G50TA</v>
      </c>
      <c r="F30" s="4" t="str">
        <f>HYPERLINK("https://polarisphotonics-my.sharepoint.com/personal/bw_shiau_polarisphotonics_com/Documents/papers/IC/LDO/ZLDO1117.pdf","pdf")</f>
        <v>pdf</v>
      </c>
      <c r="H30" s="10" t="s">
        <v>29</v>
      </c>
      <c r="I30" s="13">
        <v>3</v>
      </c>
      <c r="O30" s="9" t="s">
        <v>84</v>
      </c>
    </row>
    <row r="31" spans="1:17" x14ac:dyDescent="0.25">
      <c r="A31" t="s">
        <v>54</v>
      </c>
      <c r="B31" s="2" t="str">
        <f>IF(ISNA(_xlfn.XMATCH(A31,PURCHASE!$A:$A)),"先入料",_xlfn.XLOOKUP(A31,PURCHASE!A:A,PURCHASE!B:B))</f>
        <v>LDO</v>
      </c>
      <c r="C31" s="2" cm="1">
        <f t="array" ref="C31">IF(ISNA(_xlfn.XMATCH(A31,PURCHASE!$A:$A)),"先入料",SUMPRODUCT((PURCHASE!$A$2:$A$997=MAIN!A31)*PURCHASE!$C$2:$C$997)-SUMPRODUCT((CONSUME!$A$2:$A$992=MAIN!A31)*CONSUME!$C$2:$C$992))</f>
        <v>15</v>
      </c>
      <c r="D31" s="2" t="str">
        <f>IF(ISNA(_xlfn.XMATCH(A31,PURCHASE!$A:$A)),"先入料",_xlfn.XLOOKUP(A31,PURCHASE!A:A,PURCHASE!D:D))</f>
        <v>B4-1</v>
      </c>
      <c r="E31" s="4" t="str">
        <f>HYPERLINK("https://www.digikey.tw/product-detail/zh/diodes-incorporated/AP7361-33E-13/AP7361-33E-13DICT-ND/4505183","AP7361-33E-13")</f>
        <v>AP7361-33E-13</v>
      </c>
      <c r="F31" s="4" t="str">
        <f>HYPERLINK("https://polarisphotonics-my.sharepoint.com/personal/bw_shiau_polarisphotonics_com/Documents/papers/IC/LDO/AP7361.pdf","pdf")</f>
        <v>pdf</v>
      </c>
      <c r="H31" s="10" t="s">
        <v>668</v>
      </c>
      <c r="I31" s="13">
        <v>1</v>
      </c>
      <c r="N31" s="13">
        <v>1</v>
      </c>
      <c r="O31" t="s">
        <v>55</v>
      </c>
    </row>
    <row r="32" spans="1:17" x14ac:dyDescent="0.25">
      <c r="A32" t="s">
        <v>166</v>
      </c>
      <c r="B32" s="2" t="str">
        <f>IF(ISNA(_xlfn.XMATCH(A32,PURCHASE!$A:$A)),"先入料",_xlfn.XLOOKUP(A32,PURCHASE!A:A,PURCHASE!B:B))</f>
        <v>LDO</v>
      </c>
      <c r="C32" s="2" cm="1">
        <f t="array" ref="C32">IF(ISNA(_xlfn.XMATCH(A32,PURCHASE!$A:$A)),"先入料",SUMPRODUCT((PURCHASE!$A$2:$A$997=MAIN!A32)*PURCHASE!$C$2:$C$997)-SUMPRODUCT((CONSUME!$A$2:$A$992=MAIN!A32)*CONSUME!$C$2:$C$992))</f>
        <v>5</v>
      </c>
      <c r="D32" s="2" t="str">
        <f>IF(ISNA(_xlfn.XMATCH(A32,PURCHASE!$A:$A)),"先入料",_xlfn.XLOOKUP(A32,PURCHASE!A:A,PURCHASE!D:D))</f>
        <v>B3-1</v>
      </c>
      <c r="E32" s="4" t="str">
        <f>HYPERLINK("https://www.digikey.tw/product-detail/zh/stmicroelectronics/L7905CD2T-TR/497-1214-1-ND/586214", "L7905CD2T")</f>
        <v>L7905CD2T</v>
      </c>
      <c r="F32" s="4" t="str">
        <f>HYPERLINK("https://polarisphotonics-my.sharepoint.com/personal/bw_shiau_polarisphotonics_com/Documents/papers/IC/LDO/L7905C.pdf","pdf")</f>
        <v>pdf</v>
      </c>
      <c r="H32" s="10" t="s">
        <v>29</v>
      </c>
      <c r="I32" s="13">
        <v>2</v>
      </c>
      <c r="O32" s="9" t="s">
        <v>85</v>
      </c>
    </row>
    <row r="33" spans="1:15" x14ac:dyDescent="0.25">
      <c r="A33" t="s">
        <v>129</v>
      </c>
      <c r="B33" s="2" t="str">
        <f>IF(ISNA(_xlfn.XMATCH(A33,PURCHASE!$A:$A)),"先入料",_xlfn.XLOOKUP(A33,PURCHASE!A:A,PURCHASE!B:B))</f>
        <v>LED</v>
      </c>
      <c r="C33" s="2" cm="1">
        <f t="array" ref="C33">IF(ISNA(_xlfn.XMATCH(A33,PURCHASE!$A:$A)),"先入料",SUMPRODUCT((PURCHASE!$A$2:$A$997=MAIN!A33)*PURCHASE!$C$2:$C$997)-SUMPRODUCT((CONSUME!$A$2:$A$992=MAIN!A33)*CONSUME!$C$2:$C$992))</f>
        <v>8</v>
      </c>
      <c r="D33" s="2" t="str">
        <f>IF(ISNA(_xlfn.XMATCH(A33,PURCHASE!$A:$A)),"先入料",_xlfn.XLOOKUP(A33,PURCHASE!A:A,PURCHASE!D:D))</f>
        <v>A5</v>
      </c>
      <c r="E33" s="4" t="str">
        <f>HYPERLINK("https://www.digikey.tw/product-detail/zh/rohm-semiconductor/SML-310MTT86/511-1299-1-ND/637112", "SML-310MTT86")</f>
        <v>SML-310MTT86</v>
      </c>
      <c r="F33" s="4" t="str">
        <f>HYPERLINK("https://media.digikey.com/pdf/Data%20Sheets/Rohm%20PDFs/SML-31_Series.pdf","pdf")</f>
        <v>pdf</v>
      </c>
      <c r="H33" s="10" t="s">
        <v>673</v>
      </c>
      <c r="I33" s="13">
        <v>2</v>
      </c>
      <c r="K33" s="13">
        <v>3</v>
      </c>
      <c r="N33" s="13">
        <v>4</v>
      </c>
      <c r="O33" t="s">
        <v>130</v>
      </c>
    </row>
    <row r="34" spans="1:15" x14ac:dyDescent="0.25">
      <c r="A34" t="s">
        <v>51</v>
      </c>
      <c r="B34" s="2" t="str">
        <f>IF(ISNA(_xlfn.XMATCH(A34,PURCHASE!$A:$A)),"先入料",_xlfn.XLOOKUP(A34,PURCHASE!A:A,PURCHASE!B:B))</f>
        <v>LS</v>
      </c>
      <c r="C34" s="2" cm="1">
        <f t="array" ref="C34">IF(ISNA(_xlfn.XMATCH(A34,PURCHASE!$A:$A)),"先入料",SUMPRODUCT((PURCHASE!$A$2:$A$997=MAIN!A34)*PURCHASE!$C$2:$C$997)-SUMPRODUCT((CONSUME!$A$2:$A$992=MAIN!A34)*CONSUME!$C$2:$C$992))</f>
        <v>3</v>
      </c>
      <c r="D34" s="2" t="str">
        <f>IF(ISNA(_xlfn.XMATCH(A34,PURCHASE!$A:$A)),"先入料",_xlfn.XLOOKUP(A34,PURCHASE!A:A,PURCHASE!D:D))</f>
        <v>B1-1</v>
      </c>
      <c r="E34" s="4" t="str">
        <f>HYPERLINK("https://www.digikey.tw/product-detail/zh/texas-instruments/SN74LVC1T45QDCKRQ1/296-39212-1-ND/5143211","SN74LVC1T45QDCKRQ1")</f>
        <v>SN74LVC1T45QDCKRQ1</v>
      </c>
      <c r="F34" s="4" t="str">
        <f>HYPERLINK("https://polarisphotonics-my.sharepoint.com/personal/bw_shiau_polarisphotonics_com/Documents/papers/IC/LevelShifter/sn74lvc1t45-q1.pdf","pdf")</f>
        <v>pdf</v>
      </c>
      <c r="H34" s="10" t="s">
        <v>674</v>
      </c>
      <c r="I34" s="13">
        <v>2</v>
      </c>
      <c r="J34" s="13">
        <v>1</v>
      </c>
      <c r="N34" s="13">
        <v>1</v>
      </c>
      <c r="O34" t="s">
        <v>53</v>
      </c>
    </row>
    <row r="35" spans="1:15" x14ac:dyDescent="0.25">
      <c r="A35" t="s">
        <v>267</v>
      </c>
      <c r="B35" s="2" t="str">
        <f>IF(ISNA(_xlfn.XMATCH(A35,PURCHASE!$A:$A)),"先入料",_xlfn.XLOOKUP(A35,PURCHASE!A:A,PURCHASE!B:B))</f>
        <v>MOS</v>
      </c>
      <c r="C35" s="2" cm="1">
        <f t="array" ref="C35">IF(ISNA(_xlfn.XMATCH(A35,PURCHASE!$A:$A)),"先入料",SUMPRODUCT((PURCHASE!$A$2:$A$997=MAIN!A35)*PURCHASE!$C$2:$C$997)-SUMPRODUCT((CONSUME!$A$2:$A$992=MAIN!A35)*CONSUME!$C$2:$C$992))</f>
        <v>82</v>
      </c>
      <c r="D35" s="2" t="str">
        <f>IF(ISNA(_xlfn.XMATCH(A35,PURCHASE!$A:$A)),"先入料",_xlfn.XLOOKUP(A35,PURCHASE!A:A,PURCHASE!D:D))</f>
        <v>B5-1</v>
      </c>
      <c r="E35" s="4" t="str">
        <f>HYPERLINK("https://www.digikey.tw/product-detail/zh/infineon-technologies/IRLML2803TRPBF/IRLML2803PBFCT-ND/812498","IRLML2803TRPBF")</f>
        <v>IRLML2803TRPBF</v>
      </c>
      <c r="F35" s="4" t="str">
        <f>HYPERLINK("https://polarisphotonics-my.sharepoint.com/personal/bw_shiau_polarisphotonics_com/Documents/papers/IC/MOS/irlml2803pbf.pdf","pdf")</f>
        <v>pdf</v>
      </c>
      <c r="H35" s="10" t="s">
        <v>673</v>
      </c>
      <c r="I35" s="13">
        <v>1</v>
      </c>
      <c r="K35" s="13">
        <v>1</v>
      </c>
      <c r="N35" s="13">
        <v>3</v>
      </c>
      <c r="O35" t="s">
        <v>77</v>
      </c>
    </row>
    <row r="36" spans="1:15" x14ac:dyDescent="0.25">
      <c r="A36" t="s">
        <v>108</v>
      </c>
      <c r="B36" s="2" t="str">
        <f>IF(ISNA(_xlfn.XMATCH(A36,PURCHASE!$A:$A)),"先入料",_xlfn.XLOOKUP(A36,PURCHASE!A:A,PURCHASE!B:B))</f>
        <v>MUX</v>
      </c>
      <c r="C36" s="2" cm="1">
        <f t="array" ref="C36">IF(ISNA(_xlfn.XMATCH(A36,PURCHASE!$A:$A)),"先入料",SUMPRODUCT((PURCHASE!$A$2:$A$997=MAIN!A36)*PURCHASE!$C$2:$C$997)-SUMPRODUCT((CONSUME!$A$2:$A$992=MAIN!A36)*CONSUME!$C$2:$C$992))</f>
        <v>3</v>
      </c>
      <c r="D36" s="2" t="str">
        <f>IF(ISNA(_xlfn.XMATCH(A36,PURCHASE!$A:$A)),"先入料",_xlfn.XLOOKUP(A36,PURCHASE!A:A,PURCHASE!D:D))</f>
        <v>A3-2</v>
      </c>
      <c r="E36" s="4" t="str">
        <f>HYPERLINK("https://www.digikey.tw/product-detail/zh/texas-instruments/TS5A9411DCKR/296-22731-1-ND/1739567", "TS5A9411DCKR")</f>
        <v>TS5A9411DCKR</v>
      </c>
      <c r="F36" s="4" t="str">
        <f>HYPERLINK("https://polarisphotonics-my.sharepoint.com/personal/bw_shiau_polarisphotonics_com/Documents/papers/IC/MUX/ts5a9411.pdf","pdf")</f>
        <v>pdf</v>
      </c>
      <c r="H36" s="10" t="s">
        <v>668</v>
      </c>
      <c r="I36" s="13">
        <v>1</v>
      </c>
      <c r="N36" s="13">
        <v>1</v>
      </c>
      <c r="O36" t="s">
        <v>110</v>
      </c>
    </row>
    <row r="37" spans="1:15" x14ac:dyDescent="0.25">
      <c r="A37" t="s">
        <v>135</v>
      </c>
      <c r="B37" s="2" t="str">
        <f>IF(ISNA(_xlfn.XMATCH(A37,PURCHASE!$A:$A)),"先入料",_xlfn.XLOOKUP(A37,PURCHASE!A:A,PURCHASE!B:B))</f>
        <v>OP</v>
      </c>
      <c r="C37" s="2" cm="1">
        <f t="array" ref="C37">IF(ISNA(_xlfn.XMATCH(A37,PURCHASE!$A:$A)),"先入料",SUMPRODUCT((PURCHASE!$A$2:$A$997=MAIN!A37)*PURCHASE!$C$2:$C$997)-SUMPRODUCT((CONSUME!$A$2:$A$992=MAIN!A37)*CONSUME!$C$2:$C$992))</f>
        <v>8</v>
      </c>
      <c r="D37" s="2" t="str">
        <f>IF(ISNA(_xlfn.XMATCH(A37,PURCHASE!$A:$A)),"先入料",_xlfn.XLOOKUP(A37,PURCHASE!A:A,PURCHASE!D:D))</f>
        <v>B4-2</v>
      </c>
      <c r="E37" s="4" t="str">
        <f>HYPERLINK("https://www.digikey.tw/product-detail/zh/texas-instruments/SE555DR/296-39169-1-ND/5143178", "SE555DR")</f>
        <v>SE555DR</v>
      </c>
      <c r="F37" s="4" t="str">
        <f>HYPERLINK("https://polarisphotonics-my.sharepoint.com/personal/bw_shiau_polarisphotonics_com/Documents/papers/IC/Timer/555.pdf","pdf")</f>
        <v>pdf</v>
      </c>
      <c r="H37" s="10" t="s">
        <v>668</v>
      </c>
      <c r="I37" s="13">
        <v>1</v>
      </c>
      <c r="N37" s="13">
        <v>1</v>
      </c>
      <c r="O37" t="s">
        <v>136</v>
      </c>
    </row>
    <row r="38" spans="1:15" x14ac:dyDescent="0.25">
      <c r="A38" t="s">
        <v>150</v>
      </c>
      <c r="B38" s="2" t="str">
        <f>IF(ISNA(_xlfn.XMATCH(A38,PURCHASE!$A:$A)),"先入料",_xlfn.XLOOKUP(A38,PURCHASE!A:A,PURCHASE!B:B))</f>
        <v>PCB</v>
      </c>
      <c r="C38" s="2" cm="1">
        <f t="array" ref="C38">IF(ISNA(_xlfn.XMATCH(A38,PURCHASE!$A:$A)),"先入料",SUMPRODUCT((PURCHASE!$A$2:$A$997=MAIN!A38)*PURCHASE!$C$2:$C$997)-SUMPRODUCT((CONSUME!$A$2:$A$992=MAIN!A38)*CONSUME!$C$2:$C$992))</f>
        <v>7</v>
      </c>
      <c r="D38" s="2">
        <f>IF(ISNA(_xlfn.XMATCH(A38,PURCHASE!$A:$A)),"先入料",_xlfn.XLOOKUP(A38,PURCHASE!A:A,PURCHASE!D:D))</f>
        <v>0</v>
      </c>
      <c r="H38" s="10" t="s">
        <v>29</v>
      </c>
      <c r="I38" s="13">
        <v>1</v>
      </c>
      <c r="O38" t="s">
        <v>151</v>
      </c>
    </row>
    <row r="39" spans="1:15" x14ac:dyDescent="0.25">
      <c r="A39" t="s">
        <v>14</v>
      </c>
      <c r="B39" s="2" t="str">
        <f>IF(ISNA(_xlfn.XMATCH(A39,PURCHASE!$A:$A)),"先入料",_xlfn.XLOOKUP(A39,PURCHASE!A:A,PURCHASE!B:B))</f>
        <v>POW</v>
      </c>
      <c r="C39" s="2" cm="1">
        <f t="array" ref="C39">IF(ISNA(_xlfn.XMATCH(A39,PURCHASE!$A:$A)),"先入料",SUMPRODUCT((PURCHASE!$A$2:$A$997=MAIN!A39)*PURCHASE!$C$2:$C$997)-SUMPRODUCT((CONSUME!$A$2:$A$992=MAIN!A39)*CONSUME!$C$2:$C$992))</f>
        <v>33</v>
      </c>
      <c r="D39" s="2" t="str">
        <f>IF(ISNA(_xlfn.XMATCH(A39,PURCHASE!$A:$A)),"先入料",_xlfn.XLOOKUP(A39,PURCHASE!A:A,PURCHASE!D:D))</f>
        <v>A4-1</v>
      </c>
      <c r="E39" s="4" t="str">
        <f>HYPERLINK("https://www.digikey.tw/product-detail/zh/texas-instruments/TPS5431DDAR/296-41750-1-ND/5224516","TPS5431DDAR")</f>
        <v>TPS5431DDAR</v>
      </c>
      <c r="F39" s="4" t="str">
        <f>HYPERLINK("https://polarisphotonics-my.sharepoint.com/personal/bw_shiau_polarisphotonics_com/Documents/papers/IC/Buck/TPS5430.pdf","pdf")</f>
        <v>pdf</v>
      </c>
      <c r="G39" s="4"/>
      <c r="H39" s="10" t="s">
        <v>29</v>
      </c>
      <c r="I39" s="13">
        <v>2</v>
      </c>
      <c r="O39" t="s">
        <v>17</v>
      </c>
    </row>
    <row r="40" spans="1:15" x14ac:dyDescent="0.25">
      <c r="A40" t="s">
        <v>104</v>
      </c>
      <c r="B40" s="2" t="str">
        <f>IF(ISNA(_xlfn.XMATCH(A40,PURCHASE!$A:$A)),"先入料",_xlfn.XLOOKUP(A40,PURCHASE!A:A,PURCHASE!B:B))</f>
        <v>R</v>
      </c>
      <c r="C40" s="2" cm="1">
        <f t="array" ref="C40">IF(ISNA(_xlfn.XMATCH(A40,PURCHASE!$A:$A)),"先入料",SUMPRODUCT((PURCHASE!$A$2:$A$997=MAIN!A40)*PURCHASE!$C$2:$C$997)-SUMPRODUCT((CONSUME!$A$2:$A$992=MAIN!A40)*CONSUME!$C$2:$C$992))</f>
        <v>0</v>
      </c>
      <c r="D40" s="2">
        <f>IF(ISNA(_xlfn.XMATCH(A40,PURCHASE!$A:$A)),"先入料",_xlfn.XLOOKUP(A40,PURCHASE!A:A,PURCHASE!D:D))</f>
        <v>0</v>
      </c>
      <c r="E40" s="4" t="str">
        <f>HYPERLINK("https://www.digikey.tw/product-detail/zh/rohm-semiconductor/ESR03EZPF2701/RHM2-70KADCT-ND/1983763", "ESR03EZPF2701")</f>
        <v>ESR03EZPF2701</v>
      </c>
      <c r="F40" s="4" t="str">
        <f>HYPERLINK("https://www.digikey.tw/zh/datasheets/rohm-semiconductor/rohm-semiconductor-esr-e","pdf")</f>
        <v>pdf</v>
      </c>
      <c r="H40" s="10" t="s">
        <v>29</v>
      </c>
      <c r="I40" s="13">
        <v>2</v>
      </c>
      <c r="O40" t="s">
        <v>111</v>
      </c>
    </row>
    <row r="41" spans="1:15" x14ac:dyDescent="0.25">
      <c r="A41" t="s">
        <v>105</v>
      </c>
      <c r="B41" s="2" t="str">
        <f>IF(ISNA(_xlfn.XMATCH(A41,PURCHASE!$A:$A)),"先入料",_xlfn.XLOOKUP(A41,PURCHASE!A:A,PURCHASE!B:B))</f>
        <v>R</v>
      </c>
      <c r="C41" s="2" cm="1">
        <f t="array" ref="C41">IF(ISNA(_xlfn.XMATCH(A41,PURCHASE!$A:$A)),"先入料",SUMPRODUCT((PURCHASE!$A$2:$A$997=MAIN!A41)*PURCHASE!$C$2:$C$997)-SUMPRODUCT((CONSUME!$A$2:$A$992=MAIN!A41)*CONSUME!$C$2:$C$992))</f>
        <v>0</v>
      </c>
      <c r="D41" s="2">
        <f>IF(ISNA(_xlfn.XMATCH(A41,PURCHASE!$A:$A)),"先入料",_xlfn.XLOOKUP(A41,PURCHASE!A:A,PURCHASE!D:D))</f>
        <v>0</v>
      </c>
      <c r="E41" s="4" t="str">
        <f>HYPERLINK("https://www.digikey.tw/product-detail/zh/yageo/RT0603BRD0713KL/YAG1525CT-ND/5138973", "RT0603BRD0713KL")</f>
        <v>RT0603BRD0713KL</v>
      </c>
      <c r="F41" s="4" t="str">
        <f>HYPERLINK("https://www.yageo.com/upload/media/product/productsearch/datasheet/rchip/PYu-RT_1-to-0.01_RoHS_L_12.pdf","pdf")</f>
        <v>pdf</v>
      </c>
      <c r="H41" s="10" t="s">
        <v>29</v>
      </c>
      <c r="I41" s="13">
        <v>2</v>
      </c>
      <c r="O41" t="s">
        <v>112</v>
      </c>
    </row>
    <row r="42" spans="1:15" x14ac:dyDescent="0.25">
      <c r="A42" t="s">
        <v>119</v>
      </c>
      <c r="B42" s="2" t="str">
        <f>IF(ISNA(_xlfn.XMATCH(A42,PURCHASE!$A:$A)),"先入料",_xlfn.XLOOKUP(A42,PURCHASE!A:A,PURCHASE!B:B))</f>
        <v>R</v>
      </c>
      <c r="C42" s="2" cm="1">
        <f t="array" ref="C42">IF(ISNA(_xlfn.XMATCH(A42,PURCHASE!$A:$A)),"先入料",SUMPRODUCT((PURCHASE!$A$2:$A$997=MAIN!A42)*PURCHASE!$C$2:$C$997)-SUMPRODUCT((CONSUME!$A$2:$A$992=MAIN!A42)*CONSUME!$C$2:$C$992))</f>
        <v>0</v>
      </c>
      <c r="D42" s="2">
        <f>IF(ISNA(_xlfn.XMATCH(A42,PURCHASE!$A:$A)),"先入料",_xlfn.XLOOKUP(A42,PURCHASE!A:A,PURCHASE!D:D))</f>
        <v>0</v>
      </c>
      <c r="E42" s="4" t="str">
        <f>HYPERLINK("https://www.digikey.tw/product-detail/zh/rohm-semiconductor/ESR03EZPF1001/RHM1-00KADCT-ND/1983752", "ESR03EZPF1001")</f>
        <v>ESR03EZPF1001</v>
      </c>
      <c r="F42" s="4" t="str">
        <f>HYPERLINK("https://d1d2qsbl8m0m72.cloudfront.net/en/products/databook/datasheet/passive/resistor/chip_resistor/esr-e.pdf","pdf")</f>
        <v>pdf</v>
      </c>
      <c r="H42" s="10" t="s">
        <v>668</v>
      </c>
      <c r="I42" s="13">
        <v>2</v>
      </c>
      <c r="N42" s="13">
        <v>1</v>
      </c>
      <c r="O42" t="s">
        <v>122</v>
      </c>
    </row>
    <row r="43" spans="1:15" x14ac:dyDescent="0.25">
      <c r="A43" t="s">
        <v>120</v>
      </c>
      <c r="B43" s="2" t="str">
        <f>IF(ISNA(_xlfn.XMATCH(A43,PURCHASE!$A:$A)),"先入料",_xlfn.XLOOKUP(A43,PURCHASE!A:A,PURCHASE!B:B))</f>
        <v>R</v>
      </c>
      <c r="C43" s="2" cm="1">
        <f t="array" ref="C43">IF(ISNA(_xlfn.XMATCH(A43,PURCHASE!$A:$A)),"先入料",SUMPRODUCT((PURCHASE!$A$2:$A$997=MAIN!A43)*PURCHASE!$C$2:$C$997)-SUMPRODUCT((CONSUME!$A$2:$A$992=MAIN!A43)*CONSUME!$C$2:$C$992))</f>
        <v>0</v>
      </c>
      <c r="D43" s="2">
        <f>IF(ISNA(_xlfn.XMATCH(A43,PURCHASE!$A:$A)),"先入料",_xlfn.XLOOKUP(A43,PURCHASE!A:A,PURCHASE!D:D))</f>
        <v>0</v>
      </c>
      <c r="E43" s="4" t="str">
        <f>HYPERLINK("https://www.digikey.tw/product-detail/zh/te-connectivity-passive-product/CRGCQ0603F120R/A129677CT-ND/8577509", "CRGCQ0603F120R")</f>
        <v>CRGCQ0603F120R</v>
      </c>
      <c r="F43" s="4" t="str">
        <f>HYPERLINK("https://www.te.com/commerce/DocumentDelivery/DDEController?Action=srchrtrv&amp;DocNm=1773204-3&amp;DocType=DS&amp;DocLang=English","pdf")</f>
        <v>pdf</v>
      </c>
      <c r="H43" s="10" t="s">
        <v>115</v>
      </c>
      <c r="I43" s="13">
        <v>1</v>
      </c>
      <c r="O43" t="s">
        <v>124</v>
      </c>
    </row>
    <row r="44" spans="1:15" x14ac:dyDescent="0.25">
      <c r="A44" t="s">
        <v>121</v>
      </c>
      <c r="B44" s="2" t="str">
        <f>IF(ISNA(_xlfn.XMATCH(A44,PURCHASE!$A:$A)),"先入料",_xlfn.XLOOKUP(A44,PURCHASE!A:A,PURCHASE!B:B))</f>
        <v>R</v>
      </c>
      <c r="C44" s="2" cm="1">
        <f t="array" ref="C44">IF(ISNA(_xlfn.XMATCH(A44,PURCHASE!$A:$A)),"先入料",SUMPRODUCT((PURCHASE!$A$2:$A$997=MAIN!A44)*PURCHASE!$C$2:$C$997)-SUMPRODUCT((CONSUME!$A$2:$A$992=MAIN!A44)*CONSUME!$C$2:$C$992))</f>
        <v>0</v>
      </c>
      <c r="D44" s="2">
        <f>IF(ISNA(_xlfn.XMATCH(A44,PURCHASE!$A:$A)),"先入料",_xlfn.XLOOKUP(A44,PURCHASE!A:A,PURCHASE!D:D))</f>
        <v>0</v>
      </c>
      <c r="E44" s="4" t="str">
        <f>HYPERLINK("https://www.digikey.tw/product-detail/zh/rohm-semiconductor/ESR03EZPF1002/RHM10KADCT-ND/1983753", "ESR03EZPF1002")</f>
        <v>ESR03EZPF1002</v>
      </c>
      <c r="F44" s="4" t="str">
        <f>HYPERLINK("https://d1d2qsbl8m0m72.cloudfront.net/en/products/databook/datasheet/passive/resistor/chip_resistor/esr-e.pdf","pdf")</f>
        <v>pdf</v>
      </c>
      <c r="H44" s="10" t="s">
        <v>668</v>
      </c>
      <c r="I44" s="13">
        <v>2</v>
      </c>
      <c r="N44" s="13">
        <v>2</v>
      </c>
      <c r="O44" t="s">
        <v>123</v>
      </c>
    </row>
    <row r="45" spans="1:15" x14ac:dyDescent="0.25">
      <c r="A45" t="s">
        <v>133</v>
      </c>
      <c r="B45" s="2" t="str">
        <f>IF(ISNA(_xlfn.XMATCH(A45,PURCHASE!$A:$A)),"先入料",_xlfn.XLOOKUP(A45,PURCHASE!A:A,PURCHASE!B:B))</f>
        <v>R</v>
      </c>
      <c r="C45" s="2" cm="1">
        <f t="array" ref="C45">IF(ISNA(_xlfn.XMATCH(A45,PURCHASE!$A:$A)),"先入料",SUMPRODUCT((PURCHASE!$A$2:$A$997=MAIN!A45)*PURCHASE!$C$2:$C$997)-SUMPRODUCT((CONSUME!$A$2:$A$992=MAIN!A45)*CONSUME!$C$2:$C$992))</f>
        <v>0</v>
      </c>
      <c r="D45" s="2">
        <f>IF(ISNA(_xlfn.XMATCH(A45,PURCHASE!$A:$A)),"先入料",_xlfn.XLOOKUP(A45,PURCHASE!A:A,PURCHASE!D:D))</f>
        <v>0</v>
      </c>
      <c r="E45" s="4" t="str">
        <f>HYPERLINK("https://www.digikey.tw/product-detail/zh/vishay-dale/CRCW08050000Z0EAHP/541-0-0TBCT-ND/2222831", "CRCW08050000Z0EAHP")</f>
        <v>CRCW08050000Z0EAHP</v>
      </c>
      <c r="F45" s="4" t="str">
        <f>HYPERLINK("https://www.vishay.com/docs/20043/crcwhpe3.pdf","pdf")</f>
        <v>pdf</v>
      </c>
      <c r="H45" s="10" t="s">
        <v>115</v>
      </c>
      <c r="I45" s="13">
        <v>0</v>
      </c>
      <c r="O45" t="s">
        <v>139</v>
      </c>
    </row>
    <row r="46" spans="1:15" x14ac:dyDescent="0.25">
      <c r="A46" t="s">
        <v>140</v>
      </c>
      <c r="B46" s="2" t="str">
        <f>IF(ISNA(_xlfn.XMATCH(A46,PURCHASE!$A:$A)),"先入料",_xlfn.XLOOKUP(A46,PURCHASE!A:A,PURCHASE!B:B))</f>
        <v>R</v>
      </c>
      <c r="C46" s="2" cm="1">
        <f t="array" ref="C46">IF(ISNA(_xlfn.XMATCH(A46,PURCHASE!$A:$A)),"先入料",SUMPRODUCT((PURCHASE!$A$2:$A$997=MAIN!A46)*PURCHASE!$C$2:$C$997)-SUMPRODUCT((CONSUME!$A$2:$A$992=MAIN!A46)*CONSUME!$C$2:$C$992))</f>
        <v>0</v>
      </c>
      <c r="D46" s="2">
        <f>IF(ISNA(_xlfn.XMATCH(A46,PURCHASE!$A:$A)),"先入料",_xlfn.XLOOKUP(A46,PURCHASE!A:A,PURCHASE!D:D))</f>
        <v>0</v>
      </c>
      <c r="E46" s="4" t="str">
        <f>HYPERLINK("https://www.digikey.tw/product-detail/zh/panasonic-electronic-components/ERJ-PA3F7501V/P7-5KBYCT-ND/5036220", "ERJ-PA3F7501V")</f>
        <v>ERJ-PA3F7501V</v>
      </c>
      <c r="F46" s="4" t="str">
        <f>HYPERLINK("https://industrial.panasonic.com/cdbs/www-data/pdf/RDO0000/AOA0000C331.pdf","pdf")</f>
        <v>pdf</v>
      </c>
      <c r="H46" s="10" t="s">
        <v>29</v>
      </c>
      <c r="I46" s="13">
        <v>0</v>
      </c>
      <c r="O46" t="s">
        <v>142</v>
      </c>
    </row>
    <row r="47" spans="1:15" x14ac:dyDescent="0.25">
      <c r="A47" t="s">
        <v>141</v>
      </c>
      <c r="B47" s="2" t="str">
        <f>IF(ISNA(_xlfn.XMATCH(A47,PURCHASE!$A:$A)),"先入料",_xlfn.XLOOKUP(A47,PURCHASE!A:A,PURCHASE!B:B))</f>
        <v>R</v>
      </c>
      <c r="C47" s="2" cm="1">
        <f t="array" ref="C47">IF(ISNA(_xlfn.XMATCH(A47,PURCHASE!$A:$A)),"先入料",SUMPRODUCT((PURCHASE!$A$2:$A$997=MAIN!A47)*PURCHASE!$C$2:$C$997)-SUMPRODUCT((CONSUME!$A$2:$A$992=MAIN!A47)*CONSUME!$C$2:$C$992))</f>
        <v>0</v>
      </c>
      <c r="D47" s="2">
        <f>IF(ISNA(_xlfn.XMATCH(A47,PURCHASE!$A:$A)),"先入料",_xlfn.XLOOKUP(A47,PURCHASE!A:A,PURCHASE!D:D))</f>
        <v>0</v>
      </c>
      <c r="E47" s="4" t="str">
        <f>HYPERLINK("https://www.digikey.tw/product-detail/zh/te-connectivity-passive-product/CRGP0603F27K/A130433CT-ND/8578265", "CRGP0603F27K")</f>
        <v>CRGP0603F27K</v>
      </c>
      <c r="F47" s="4" t="str">
        <f>HYPERLINK("https://www.te.com/commerce/DocumentDelivery/DDEController?Action=srchrtrv&amp;DocNm=9-1773463-9&amp;DocType=DS&amp;DocLang=English","pdf")</f>
        <v>pdf</v>
      </c>
      <c r="H47" s="10" t="s">
        <v>29</v>
      </c>
      <c r="I47" s="13">
        <v>0</v>
      </c>
      <c r="O47" t="s">
        <v>143</v>
      </c>
    </row>
    <row r="48" spans="1:15" x14ac:dyDescent="0.25">
      <c r="A48" t="s">
        <v>41</v>
      </c>
      <c r="B48" s="2" t="str">
        <f>IF(ISNA(_xlfn.XMATCH(A48,PURCHASE!$A:$A)),"先入料",_xlfn.XLOOKUP(A48,PURCHASE!A:A,PURCHASE!B:B))</f>
        <v>SER</v>
      </c>
      <c r="C48" s="2" cm="1">
        <f t="array" ref="C48">IF(ISNA(_xlfn.XMATCH(A48,PURCHASE!$A:$A)),"先入料",SUMPRODUCT((PURCHASE!$A$2:$A$997=MAIN!A48)*PURCHASE!$C$2:$C$997)-SUMPRODUCT((CONSUME!$A$2:$A$992=MAIN!A48)*CONSUME!$C$2:$C$992))</f>
        <v>20</v>
      </c>
      <c r="D48" s="2" t="str">
        <f>IF(ISNA(_xlfn.XMATCH(A48,PURCHASE!$A:$A)),"先入料",_xlfn.XLOOKUP(A48,PURCHASE!A:A,PURCHASE!D:D))</f>
        <v>B9</v>
      </c>
      <c r="E48" s="4" t="str">
        <f>HYPERLINK("https://www.digikey.tw/product-detail/zh/maxim-integrated/MAX3485EESA-T/MAX3485EESA-TCT-ND/4967931","MAX3485ESA+T")</f>
        <v>MAX3485ESA+T</v>
      </c>
      <c r="F48" s="4" t="str">
        <f>HYPERLINK("https://polarisphotonics-my.sharepoint.com/personal/bw_shiau_polarisphotonics_com/Documents/papers/IC/Digital_TTL/MAX3485E.pdf","pdf")</f>
        <v>pdf</v>
      </c>
      <c r="H48" s="10" t="s">
        <v>29</v>
      </c>
      <c r="I48" s="13">
        <v>0</v>
      </c>
      <c r="O48" t="s">
        <v>74</v>
      </c>
    </row>
    <row r="49" spans="1:15" x14ac:dyDescent="0.25">
      <c r="A49" t="s">
        <v>131</v>
      </c>
      <c r="B49" s="2" t="str">
        <f>IF(ISNA(_xlfn.XMATCH(A49,PURCHASE!$A:$A)),"先入料",_xlfn.XLOOKUP(A49,PURCHASE!A:A,PURCHASE!B:B))</f>
        <v>R</v>
      </c>
      <c r="C49" s="2" cm="1">
        <f t="array" ref="C49">IF(ISNA(_xlfn.XMATCH(A49,PURCHASE!$A:$A)),"先入料",SUMPRODUCT((PURCHASE!$A$2:$A$997=MAIN!A49)*PURCHASE!$C$2:$C$997)-SUMPRODUCT((CONSUME!$A$2:$A$992=MAIN!A49)*CONSUME!$C$2:$C$992))</f>
        <v>0</v>
      </c>
      <c r="D49" s="2">
        <f>IF(ISNA(_xlfn.XMATCH(A49,PURCHASE!$A:$A)),"先入料",_xlfn.XLOOKUP(A49,PURCHASE!A:A,PURCHASE!D:D))</f>
        <v>0</v>
      </c>
      <c r="E49" s="4" t="str">
        <f>HYPERLINK("https://www.digikey.tw/product-detail/zh/panasonic-electronic-components/ERJ-PA3J241V/P240BZCT-ND/5036288", "ERJ-PA3J241V")</f>
        <v>ERJ-PA3J241V</v>
      </c>
      <c r="F49" s="4" t="str">
        <f>HYPERLINK("https://industrial.panasonic.com/cdbs/www-data/pdf/RDO0000/AOA0000C331.pdf","pdf")</f>
        <v>pdf</v>
      </c>
      <c r="H49" s="10" t="s">
        <v>673</v>
      </c>
      <c r="I49" s="13">
        <v>2</v>
      </c>
      <c r="K49" s="15">
        <v>3</v>
      </c>
      <c r="L49" s="15"/>
      <c r="M49" s="15"/>
      <c r="N49" s="15">
        <v>4</v>
      </c>
      <c r="O49" t="s">
        <v>132</v>
      </c>
    </row>
    <row r="50" spans="1:15" x14ac:dyDescent="0.25">
      <c r="A50" t="s">
        <v>195</v>
      </c>
      <c r="B50" s="2" t="str">
        <f>IF(ISNA(_xlfn.XMATCH(A50,PURCHASE!$A:$A)),"先入料",_xlfn.XLOOKUP(A50,PURCHASE!A:A,PURCHASE!B:B))</f>
        <v>R</v>
      </c>
      <c r="C50" s="2" cm="1">
        <f t="array" ref="C50">IF(ISNA(_xlfn.XMATCH(A50,PURCHASE!$A:$A)),"先入料",SUMPRODUCT((PURCHASE!$A$2:$A$997=MAIN!A50)*PURCHASE!$C$2:$C$997)-SUMPRODUCT((CONSUME!$A$2:$A$992=MAIN!A50)*CONSUME!$C$2:$C$992))</f>
        <v>0</v>
      </c>
      <c r="D50" s="2">
        <f>IF(ISNA(_xlfn.XMATCH(A50,PURCHASE!$A:$A)),"先入料",_xlfn.XLOOKUP(A50,PURCHASE!A:A,PURCHASE!D:D))</f>
        <v>0</v>
      </c>
      <c r="E50" s="4" t="str">
        <f>HYPERLINK("https://www.digikey.tw/product-detail/zh/yageo/RC0603FR-072K2L/311-2-20KHRCT-ND/729963","RC0603FR-072K2L")</f>
        <v>RC0603FR-072K2L</v>
      </c>
      <c r="F50" s="4" t="str">
        <f>HYPERLINK("https://www.yageo.com/upload/media/product/productsearch/datasheet/rchip/PYu-RC_Group_51_RoHS_L_11.pdf","pdf")</f>
        <v>pdf</v>
      </c>
      <c r="H50" s="10" t="s">
        <v>668</v>
      </c>
      <c r="I50" s="13">
        <v>2</v>
      </c>
      <c r="N50" s="13">
        <v>2</v>
      </c>
      <c r="O50" t="s">
        <v>196</v>
      </c>
    </row>
    <row r="51" spans="1:15" x14ac:dyDescent="0.25">
      <c r="A51" t="s">
        <v>169</v>
      </c>
      <c r="B51" s="2" t="str">
        <f>IF(ISNA(_xlfn.XMATCH(A51,PURCHASE!$A:$A)),"先入料",_xlfn.XLOOKUP(A51,PURCHASE!A:A,PURCHASE!B:B))</f>
        <v>ADC</v>
      </c>
      <c r="C51" s="2" cm="1">
        <f t="array" ref="C51">IF(ISNA(_xlfn.XMATCH(A51,PURCHASE!$A:$A)),"先入料",SUMPRODUCT((PURCHASE!$A$2:$A$997=MAIN!A51)*PURCHASE!$C$2:$C$997)-SUMPRODUCT((CONSUME!$A$2:$A$992=MAIN!A51)*CONSUME!$C$2:$C$992))</f>
        <v>0</v>
      </c>
      <c r="D51" s="2" t="str">
        <f>IF(ISNA(_xlfn.XMATCH(A51,PURCHASE!$A:$A)),"先入料",_xlfn.XLOOKUP(A51,PURCHASE!A:A,PURCHASE!D:D))</f>
        <v>A2-2</v>
      </c>
      <c r="E51" s="4" t="str">
        <f>HYPERLINK("https://www.digikey.tw/product-detail/zh/analog-devices-inc/LTC2145IUP-14-PBF/LTC2145IUP-14-PBF-ND/2699163", "LTC2145IUP-14")</f>
        <v>LTC2145IUP-14</v>
      </c>
      <c r="F51" s="4" t="str">
        <f>HYPERLINK("https://polarisphotonics-my.sharepoint.com/personal/bw_shiau_polarisphotonics_com/Documents/papers/IC/ADC/lt2145.pdf","pdf")</f>
        <v>pdf</v>
      </c>
      <c r="H51" s="10" t="s">
        <v>534</v>
      </c>
      <c r="I51" s="13">
        <v>1</v>
      </c>
      <c r="J51" s="13">
        <v>1</v>
      </c>
      <c r="M51" s="13">
        <v>1</v>
      </c>
      <c r="O51" t="s">
        <v>152</v>
      </c>
    </row>
    <row r="52" spans="1:15" x14ac:dyDescent="0.25">
      <c r="A52" t="s">
        <v>170</v>
      </c>
      <c r="B52" s="2" t="str">
        <f>IF(ISNA(_xlfn.XMATCH(A52,PURCHASE!$A:$A)),"先入料",_xlfn.XLOOKUP(A52,PURCHASE!A:A,PURCHASE!B:B))</f>
        <v>DAC</v>
      </c>
      <c r="C52" s="2" cm="1">
        <f t="array" ref="C52">IF(ISNA(_xlfn.XMATCH(A52,PURCHASE!$A:$A)),"先入料",SUMPRODUCT((PURCHASE!$A$2:$A$997=MAIN!A52)*PURCHASE!$C$2:$C$997)-SUMPRODUCT((CONSUME!$A$2:$A$992=MAIN!A52)*CONSUME!$C$2:$C$992))</f>
        <v>0</v>
      </c>
      <c r="D52" s="2" t="str">
        <f>IF(ISNA(_xlfn.XMATCH(A52,PURCHASE!$A:$A)),"先入料",_xlfn.XLOOKUP(A52,PURCHASE!A:A,PURCHASE!D:D))</f>
        <v>D6-1</v>
      </c>
      <c r="E52" s="4" t="str">
        <f>HYPERLINK("https://www.digikey.tw/product-detail/zh/analog-devices-inc/AD9747BCPZ/AD9747BCPZ-ND/1643592", "AD9747BCPZ")</f>
        <v>AD9747BCPZ</v>
      </c>
      <c r="F52" s="4" t="str">
        <f>HYPERLINK("https://polarisphotonics-my.sharepoint.com/personal/bw_shiau_polarisphotonics_com/Documents/papers/IC/DAC/AD9747.pdf","pdf")</f>
        <v>pdf</v>
      </c>
      <c r="H52" s="10" t="s">
        <v>534</v>
      </c>
      <c r="I52" s="13">
        <v>0</v>
      </c>
      <c r="J52" s="13">
        <v>1</v>
      </c>
      <c r="M52" s="13">
        <v>1</v>
      </c>
      <c r="O52" t="s">
        <v>153</v>
      </c>
    </row>
    <row r="53" spans="1:15" x14ac:dyDescent="0.25">
      <c r="A53" t="s">
        <v>154</v>
      </c>
      <c r="B53" s="2" t="str">
        <f>IF(ISNA(_xlfn.XMATCH(A53,PURCHASE!$A:$A)),"先入料",_xlfn.XLOOKUP(A53,PURCHASE!A:A,PURCHASE!B:B))</f>
        <v>LDO</v>
      </c>
      <c r="C53" s="2" cm="1">
        <f t="array" ref="C53">IF(ISNA(_xlfn.XMATCH(A53,PURCHASE!$A:$A)),"先入料",SUMPRODUCT((PURCHASE!$A$2:$A$997=MAIN!A53)*PURCHASE!$C$2:$C$997)-SUMPRODUCT((CONSUME!$A$2:$A$992=MAIN!A53)*CONSUME!$C$2:$C$992))</f>
        <v>0</v>
      </c>
      <c r="D53" s="2">
        <f>IF(ISNA(_xlfn.XMATCH(A53,PURCHASE!$A:$A)),"先入料",_xlfn.XLOOKUP(A53,PURCHASE!A:A,PURCHASE!D:D))</f>
        <v>0</v>
      </c>
      <c r="E53" s="4" t="str">
        <f>HYPERLINK("https://www.digikey.tw/product-detail/zh/analog-devices-inc/LT3091HR-PBF/LT3091HR-PBF-ND/5432248", "LT3091HR#PBF")</f>
        <v>LT3091HR#PBF</v>
      </c>
      <c r="F53" s="4" t="str">
        <f>HYPERLINK("https://polarisphotonics-my.sharepoint.com/personal/bw_shiau_polarisphotonics_com/Documents/papers/IC/LDO/LT3091.pdf","pdf")</f>
        <v>pdf</v>
      </c>
      <c r="H53" s="10" t="s">
        <v>500</v>
      </c>
      <c r="L53" s="13">
        <v>1</v>
      </c>
      <c r="O53" t="s">
        <v>155</v>
      </c>
    </row>
    <row r="54" spans="1:15" x14ac:dyDescent="0.25">
      <c r="A54" t="s">
        <v>158</v>
      </c>
      <c r="B54" s="2" t="str">
        <f>IF(ISNA(_xlfn.XMATCH(A54,PURCHASE!$A:$A)),"先入料",_xlfn.XLOOKUP(A54,PURCHASE!A:A,PURCHASE!B:B))</f>
        <v>SENSOR</v>
      </c>
      <c r="C54" s="2" cm="1">
        <f t="array" ref="C54">IF(ISNA(_xlfn.XMATCH(A54,PURCHASE!$A:$A)),"先入料",SUMPRODUCT((PURCHASE!$A$2:$A$997=MAIN!A54)*PURCHASE!$C$2:$C$997)-SUMPRODUCT((CONSUME!$A$2:$A$992=MAIN!A54)*CONSUME!$C$2:$C$992))</f>
        <v>4</v>
      </c>
      <c r="D54" s="2" t="str">
        <f>IF(ISNA(_xlfn.XMATCH(A54,PURCHASE!$A:$A)),"先入料",_xlfn.XLOOKUP(A54,PURCHASE!A:A,PURCHASE!D:D))</f>
        <v>B7-1</v>
      </c>
      <c r="E54" s="4" t="str">
        <f>HYPERLINK("https://www.digikey.tw/product-detail/zh/maxim-integrated/DS1775R-T-R/DS1775R-T-RCT-ND/2351214", "DS1775R+T&amp;R")</f>
        <v>DS1775R+T&amp;R</v>
      </c>
      <c r="F54" s="4" t="str">
        <f>HYPERLINK("https://polarisphotonics-my.sharepoint.com/personal/bw_shiau_polarisphotonics_com/Documents/papers/IC/Sensor/DS1775.pdf","pdf")</f>
        <v>pdf</v>
      </c>
      <c r="H54" s="10" t="s">
        <v>461</v>
      </c>
      <c r="K54" s="13">
        <v>1</v>
      </c>
      <c r="O54" t="s">
        <v>324</v>
      </c>
    </row>
    <row r="55" spans="1:15" x14ac:dyDescent="0.25">
      <c r="A55" t="s">
        <v>163</v>
      </c>
      <c r="B55" s="2" t="str">
        <f>IF(ISNA(_xlfn.XMATCH(A55,PURCHASE!$A:$A)),"先入料",_xlfn.XLOOKUP(A55,PURCHASE!A:A,PURCHASE!B:B))</f>
        <v>LS</v>
      </c>
      <c r="C55" s="2" cm="1">
        <f t="array" ref="C55">IF(ISNA(_xlfn.XMATCH(A55,PURCHASE!$A:$A)),"先入料",SUMPRODUCT((PURCHASE!$A$2:$A$997=MAIN!A55)*PURCHASE!$C$2:$C$997)-SUMPRODUCT((CONSUME!$A$2:$A$992=MAIN!A55)*CONSUME!$C$2:$C$992))</f>
        <v>0</v>
      </c>
      <c r="D55" s="2">
        <f>IF(ISNA(_xlfn.XMATCH(A55,PURCHASE!$A:$A)),"先入料",_xlfn.XLOOKUP(A55,PURCHASE!A:A,PURCHASE!D:D))</f>
        <v>0</v>
      </c>
      <c r="E55" s="4" t="str">
        <f>HYPERLINK("https://www.digikey.tw/product-detail/zh/texas-instruments/SN74AUP1T17DCKR/296-27395-1-ND/2280369", "SN74AUP1T17DCKR")</f>
        <v>SN74AUP1T17DCKR</v>
      </c>
      <c r="F55" s="4" t="str">
        <f>HYPERLINK("https://polarisphotonics-my.sharepoint.com/personal/bw_shiau_polarisphotonics_com/Documents/papers/IC/LevelShifter/SN74AUP1T17.pdf","pdf")</f>
        <v>pdf</v>
      </c>
      <c r="H55" s="10" t="s">
        <v>533</v>
      </c>
      <c r="M55" s="13">
        <v>1</v>
      </c>
      <c r="O55" t="s">
        <v>164</v>
      </c>
    </row>
    <row r="56" spans="1:15" x14ac:dyDescent="0.25">
      <c r="A56" t="s">
        <v>171</v>
      </c>
      <c r="B56" s="2" t="str">
        <f>IF(ISNA(_xlfn.XMATCH(A56,PURCHASE!$A:$A)),"先入料",_xlfn.XLOOKUP(A56,PURCHASE!A:A,PURCHASE!B:B))</f>
        <v>FPGA</v>
      </c>
      <c r="C56" s="2" cm="1">
        <f t="array" ref="C56">IF(ISNA(_xlfn.XMATCH(A56,PURCHASE!$A:$A)),"先入料",SUMPRODUCT((PURCHASE!$A$2:$A$997=MAIN!A56)*PURCHASE!$C$2:$C$997)-SUMPRODUCT((CONSUME!$A$2:$A$992=MAIN!A56)*CONSUME!$C$2:$C$992))</f>
        <v>0</v>
      </c>
      <c r="D56" s="2">
        <f>IF(ISNA(_xlfn.XMATCH(A56,PURCHASE!$A:$A)),"先入料",_xlfn.XLOOKUP(A56,PURCHASE!A:A,PURCHASE!D:D))</f>
        <v>0</v>
      </c>
      <c r="E56" s="4" t="str">
        <f>HYPERLINK("https://www.digikey.tw/product-detail/zh/intel/EP4CE40F23I7N/544-2812-ND/2288397", "EP4CE40F23I7N")</f>
        <v>EP4CE40F23I7N</v>
      </c>
      <c r="F56" s="4" t="str">
        <f>HYPERLINK("https://polarisphotonics-my.sharepoint.com/personal/bw_shiau_polarisphotonics_com/Documents/papers/IC/FPGA/BGA-484.pdf","pdf")</f>
        <v>pdf</v>
      </c>
      <c r="H56" s="10" t="s">
        <v>533</v>
      </c>
      <c r="M56" s="13">
        <v>1</v>
      </c>
      <c r="O56" t="s">
        <v>172</v>
      </c>
    </row>
    <row r="57" spans="1:15" x14ac:dyDescent="0.25">
      <c r="A57" t="s">
        <v>177</v>
      </c>
      <c r="B57" s="2" t="str">
        <f>IF(ISNA(_xlfn.XMATCH(A57,PURCHASE!$A:$A)),"先入料",_xlfn.XLOOKUP(A57,PURCHASE!A:A,PURCHASE!B:B))</f>
        <v>FPGA</v>
      </c>
      <c r="C57" s="2" cm="1">
        <f t="array" ref="C57">IF(ISNA(_xlfn.XMATCH(A57,PURCHASE!$A:$A)),"先入料",SUMPRODUCT((PURCHASE!$A$2:$A$997=MAIN!A57)*PURCHASE!$C$2:$C$997)-SUMPRODUCT((CONSUME!$A$2:$A$992=MAIN!A57)*CONSUME!$C$2:$C$992))</f>
        <v>0</v>
      </c>
      <c r="D57" s="2">
        <f>IF(ISNA(_xlfn.XMATCH(A57,PURCHASE!$A:$A)),"先入料",_xlfn.XLOOKUP(A57,PURCHASE!A:A,PURCHASE!D:D))</f>
        <v>0</v>
      </c>
      <c r="E57" s="4" t="str">
        <f>HYPERLINK("https://www.digikey.tw/products/zh/integrated-circuits-ics/embedded-fpgas-field-programmable-gate-array/696?k=&amp;pkeyword=&amp;sv=0&amp;pv1291=158104&amp;sf=0&amp;FV=-9%7C544%2C-8%7C696%2C-5%7C24296&amp;quantity=&amp;ColumnSort=0&amp;page=1&amp;stock=1&amp;pageSize=25", "EP4CE15M9I7N")</f>
        <v>EP4CE15M9I7N</v>
      </c>
      <c r="F57" s="4" t="str">
        <f>HYPERLINK("https://polarisphotonics-my.sharepoint.com/personal/bw_shiau_polarisphotonics_com/Documents/papers/IC/FPGA/MBGA-256.pdf","pdf")</f>
        <v>pdf</v>
      </c>
      <c r="H57" s="10" t="s">
        <v>380</v>
      </c>
      <c r="I57" s="13">
        <v>0</v>
      </c>
      <c r="O57" t="s">
        <v>176</v>
      </c>
    </row>
    <row r="58" spans="1:15" x14ac:dyDescent="0.25">
      <c r="A58" t="s">
        <v>175</v>
      </c>
      <c r="B58" s="2" t="str">
        <f>IF(ISNA(_xlfn.XMATCH(A58,PURCHASE!$A:$A)),"先入料",_xlfn.XLOOKUP(A58,PURCHASE!A:A,PURCHASE!B:B))</f>
        <v>FPGA</v>
      </c>
      <c r="C58" s="2" cm="1">
        <f t="array" ref="C58">IF(ISNA(_xlfn.XMATCH(A58,PURCHASE!$A:$A)),"先入料",SUMPRODUCT((PURCHASE!$A$2:$A$997=MAIN!A58)*PURCHASE!$C$2:$C$997)-SUMPRODUCT((CONSUME!$A$2:$A$992=MAIN!A58)*CONSUME!$C$2:$C$992))</f>
        <v>4</v>
      </c>
      <c r="D58" s="2" t="str">
        <f>IF(ISNA(_xlfn.XMATCH(A58,PURCHASE!$A:$A)),"先入料",_xlfn.XLOOKUP(A58,PURCHASE!A:A,PURCHASE!D:D))</f>
        <v>A1-1</v>
      </c>
      <c r="E58" s="4" t="str">
        <f>HYPERLINK("https://www.digikey.tw/product-detail/zh/intel/EP4CE15F17I7N/544-2832-ND/2288303", "EP4CE15F17I7N")</f>
        <v>EP4CE15F17I7N</v>
      </c>
      <c r="F58" s="4" t="str">
        <f>HYPERLINK("https://polarisphotonics-my.sharepoint.com/personal/bw_shiau_polarisphotonics_com/Documents/papers/IC/FPGA/BGA-256.pdf","pdf")</f>
        <v>pdf</v>
      </c>
      <c r="H58" s="10" t="s">
        <v>380</v>
      </c>
      <c r="I58" s="13">
        <v>0</v>
      </c>
      <c r="J58" s="13">
        <v>1</v>
      </c>
      <c r="O58" t="s">
        <v>178</v>
      </c>
    </row>
    <row r="59" spans="1:15" x14ac:dyDescent="0.25">
      <c r="A59" t="s">
        <v>180</v>
      </c>
      <c r="B59" s="2" t="str">
        <f>IF(ISNA(_xlfn.XMATCH(A59,PURCHASE!$A:$A)),"先入料",_xlfn.XLOOKUP(A59,PURCHASE!A:A,PURCHASE!B:B))</f>
        <v>MEM</v>
      </c>
      <c r="C59" s="2" cm="1">
        <f t="array" ref="C59">IF(ISNA(_xlfn.XMATCH(A59,PURCHASE!$A:$A)),"先入料",SUMPRODUCT((PURCHASE!$A$2:$A$997=MAIN!A59)*PURCHASE!$C$2:$C$997)-SUMPRODUCT((CONSUME!$A$2:$A$992=MAIN!A59)*CONSUME!$C$2:$C$992))</f>
        <v>0</v>
      </c>
      <c r="D59" s="2">
        <f>IF(ISNA(_xlfn.XMATCH(A59,PURCHASE!$A:$A)),"先入料",_xlfn.XLOOKUP(A59,PURCHASE!A:A,PURCHASE!D:D))</f>
        <v>0</v>
      </c>
      <c r="E59" s="4" t="str">
        <f>HYPERLINK("https://www.digikey.tw/product-detail/zh/micron-technology-inc/MT48H32M16LFB4-6-IT-C/MT48H32M16LFB4-6IT-C-ND/4315912", "MT48H32M16LFB4-6 IT:C")</f>
        <v>MT48H32M16LFB4-6 IT:C</v>
      </c>
      <c r="F59" s="4" t="str">
        <f>HYPERLINK("https://polarisphotonics-my.sharepoint.com/personal/bw_shiau_polarisphotonics_com/Documents/papers/IC/MEM/sdram_Micron_8M_16bits_4bk.pdf","pdf")</f>
        <v>pdf</v>
      </c>
      <c r="H59" s="10" t="s">
        <v>380</v>
      </c>
      <c r="I59" s="13">
        <v>0</v>
      </c>
      <c r="J59" s="13">
        <v>0</v>
      </c>
      <c r="O59" t="s">
        <v>179</v>
      </c>
    </row>
    <row r="60" spans="1:15" x14ac:dyDescent="0.25">
      <c r="A60" t="s">
        <v>181</v>
      </c>
      <c r="B60" s="2" t="str">
        <f>IF(ISNA(_xlfn.XMATCH(A60,PURCHASE!$A:$A)),"先入料",_xlfn.XLOOKUP(A60,PURCHASE!A:A,PURCHASE!B:B))</f>
        <v>MEM</v>
      </c>
      <c r="C60" s="2" cm="1">
        <f t="array" ref="C60">IF(ISNA(_xlfn.XMATCH(A60,PURCHASE!$A:$A)),"先入料",SUMPRODUCT((PURCHASE!$A$2:$A$997=MAIN!A60)*PURCHASE!$C$2:$C$997)-SUMPRODUCT((CONSUME!$A$2:$A$992=MAIN!A60)*CONSUME!$C$2:$C$992))</f>
        <v>0</v>
      </c>
      <c r="D60" s="2">
        <f>IF(ISNA(_xlfn.XMATCH(A60,PURCHASE!$A:$A)),"先入料",_xlfn.XLOOKUP(A60,PURCHASE!A:A,PURCHASE!D:D))</f>
        <v>0</v>
      </c>
      <c r="E60" s="4" t="str">
        <f>HYPERLINK("https://www.digikey.tw/product-detail/zh/intel/EPCQ16ASI8N/544-3440-ND/7325231", "EPCQ16ASI8N")</f>
        <v>EPCQ16ASI8N</v>
      </c>
      <c r="F60" s="4" t="str">
        <f>HYPERLINK("https://polarisphotonics-my.sharepoint.com/personal/bw_shiau_polarisphotonics_com/Documents/papers/IC/MEM/epcq.pdf","pdf")</f>
        <v>pdf</v>
      </c>
      <c r="G60" s="4" t="str">
        <f>HYPERLINK("https://polarisphotonics-my.sharepoint.com/personal/bw_shiau_polarisphotonics_com/Documents/papers/IC/MEM/epcq_SO8_pkg.pdf","pkg")</f>
        <v>pkg</v>
      </c>
      <c r="H60" s="10" t="s">
        <v>380</v>
      </c>
      <c r="I60" s="13">
        <v>0</v>
      </c>
      <c r="J60" s="13">
        <v>0</v>
      </c>
      <c r="O60" t="s">
        <v>182</v>
      </c>
    </row>
    <row r="61" spans="1:15" x14ac:dyDescent="0.25">
      <c r="A61" t="s">
        <v>184</v>
      </c>
      <c r="B61" s="2" t="str">
        <f>IF(ISNA(_xlfn.XMATCH(A61,PURCHASE!$A:$A)),"先入料",_xlfn.XLOOKUP(A61,PURCHASE!A:A,PURCHASE!B:B))</f>
        <v>CON</v>
      </c>
      <c r="C61" s="2" cm="1">
        <f t="array" ref="C61">IF(ISNA(_xlfn.XMATCH(A61,PURCHASE!$A:$A)),"先入料",SUMPRODUCT((PURCHASE!$A$2:$A$997=MAIN!A61)*PURCHASE!$C$2:$C$997)-SUMPRODUCT((CONSUME!$A$2:$A$992=MAIN!A61)*CONSUME!$C$2:$C$992))</f>
        <v>9</v>
      </c>
      <c r="D61" s="2" t="str">
        <f>IF(ISNA(_xlfn.XMATCH(A61,PURCHASE!$A:$A)),"先入料",_xlfn.XLOOKUP(A61,PURCHASE!A:A,PURCHASE!D:D))</f>
        <v>C5-1</v>
      </c>
      <c r="E61" s="4" t="str">
        <f>HYPERLINK("https://www.digikey.tw/zh/products/detail/hirose-electric-co-ltd/DF9A-11S-1V-22/1015295?s=N4IgTCBcDaICIDECcBBAtARgwZUwNQAowwBKEAXQF8g", "DF9A-11S-1V(22)")</f>
        <v>DF9A-11S-1V(22)</v>
      </c>
      <c r="F61" s="4" t="str">
        <f>HYPERLINK("https://polarisphotonics-my.sharepoint.com/personal/bw_shiau_polarisphotonics_com/Documents/papers/IC/CONN/boardConn_1mm_11p.pdf","pdf")</f>
        <v>pdf</v>
      </c>
      <c r="G61" s="4" t="str">
        <f>HYPERLINK("https://polarisphotonics-my.sharepoint.com/personal/bw_shiau_polarisphotonics_com/Documents/papers/IC/CONN/DF9_CL0540-0067-1-32_2d.pdf","pkg")</f>
        <v>pkg</v>
      </c>
      <c r="H61" s="10" t="s">
        <v>466</v>
      </c>
      <c r="I61" s="13">
        <v>2</v>
      </c>
      <c r="J61" s="13">
        <v>1</v>
      </c>
      <c r="K61" s="13">
        <v>2</v>
      </c>
      <c r="O61" t="s">
        <v>186</v>
      </c>
    </row>
    <row r="62" spans="1:15" x14ac:dyDescent="0.25">
      <c r="A62" t="s">
        <v>185</v>
      </c>
      <c r="B62" s="2" t="str">
        <f>IF(ISNA(_xlfn.XMATCH(A62,PURCHASE!$A:$A)),"先入料",_xlfn.XLOOKUP(A62,PURCHASE!A:A,PURCHASE!B:B))</f>
        <v>CON</v>
      </c>
      <c r="C62" s="2" cm="1">
        <f t="array" ref="C62">IF(ISNA(_xlfn.XMATCH(A62,PURCHASE!$A:$A)),"先入料",SUMPRODUCT((PURCHASE!$A$2:$A$997=MAIN!A62)*PURCHASE!$C$2:$C$997)-SUMPRODUCT((CONSUME!$A$2:$A$992=MAIN!A62)*CONSUME!$C$2:$C$992))</f>
        <v>9</v>
      </c>
      <c r="D62" s="2" t="str">
        <f>IF(ISNA(_xlfn.XMATCH(A62,PURCHASE!$A:$A)),"先入料",_xlfn.XLOOKUP(A62,PURCHASE!A:A,PURCHASE!D:D))</f>
        <v>C5-2</v>
      </c>
      <c r="E62" s="4" t="str">
        <f>HYPERLINK("https://www.digikey.tw/zh/products/detail/hirose-electric-co-ltd/DF9-11P-1V-32/1015335", "DF9-11P-1V(32)")</f>
        <v>DF9-11P-1V(32)</v>
      </c>
      <c r="F62" s="4" t="str">
        <f>HYPERLINK("https://polarisphotonics-my.sharepoint.com/personal/bw_shiau_polarisphotonics_com/Documents/papers/IC/CONN/boardConn_1mm_11p.pdf","pdf")</f>
        <v>pdf</v>
      </c>
      <c r="G62" s="4" t="str">
        <f>HYPERLINK("https://polarisphotonics-my.sharepoint.com/personal/bw_shiau_polarisphotonics_com/Documents/papers/IC/CONN/DF9_CL0540-0005-4-22_2d.pdf","pkg")</f>
        <v>pkg</v>
      </c>
      <c r="H62" s="10" t="s">
        <v>466</v>
      </c>
      <c r="I62" s="13">
        <v>2</v>
      </c>
      <c r="J62" s="13">
        <v>2</v>
      </c>
      <c r="K62" s="13">
        <v>1</v>
      </c>
      <c r="O62" t="s">
        <v>187</v>
      </c>
    </row>
    <row r="63" spans="1:15" x14ac:dyDescent="0.25">
      <c r="A63" t="s">
        <v>189</v>
      </c>
      <c r="B63" s="2" t="str">
        <f>IF(ISNA(_xlfn.XMATCH(A63,PURCHASE!$A:$A)),"先入料",_xlfn.XLOOKUP(A63,PURCHASE!A:A,PURCHASE!B:B))</f>
        <v>C</v>
      </c>
      <c r="C63" s="2" cm="1">
        <f t="array" ref="C63">IF(ISNA(_xlfn.XMATCH(A63,PURCHASE!$A:$A)),"先入料",SUMPRODUCT((PURCHASE!$A$2:$A$997=MAIN!A63)*PURCHASE!$C$2:$C$997)-SUMPRODUCT((CONSUME!$A$2:$A$992=MAIN!A63)*CONSUME!$C$2:$C$992))</f>
        <v>0</v>
      </c>
      <c r="D63" s="2">
        <f>IF(ISNA(_xlfn.XMATCH(A63,PURCHASE!$A:$A)),"先入料",_xlfn.XLOOKUP(A63,PURCHASE!A:A,PURCHASE!D:D))</f>
        <v>0</v>
      </c>
      <c r="E63" s="4" t="str">
        <f>HYPERLINK("https://www.digikey.tw/product-detail/zh/murata-electronics/GRT033C81A104KE01D/490-12232-1-ND/5416933","GRT033C81A104KE01D")</f>
        <v>GRT033C81A104KE01D</v>
      </c>
      <c r="F63" s="4" t="str">
        <f>HYPERLINK("https://search.murata.co.jp/Ceramy/image/img/A01X/G101/ENG/GRT033C81A104KE01-01.pdf","pdf")</f>
        <v>pdf</v>
      </c>
      <c r="H63" s="10" t="s">
        <v>380</v>
      </c>
      <c r="J63" s="13">
        <v>47</v>
      </c>
      <c r="O63" t="s">
        <v>190</v>
      </c>
    </row>
    <row r="64" spans="1:15" x14ac:dyDescent="0.25">
      <c r="A64" t="s">
        <v>197</v>
      </c>
      <c r="B64" s="2" t="str">
        <f>IF(ISNA(_xlfn.XMATCH(A64,PURCHASE!$A:$A)),"先入料",_xlfn.XLOOKUP(A64,PURCHASE!A:A,PURCHASE!B:B))</f>
        <v>R</v>
      </c>
      <c r="C64" s="2" cm="1">
        <f t="array" ref="C64">IF(ISNA(_xlfn.XMATCH(A64,PURCHASE!$A:$A)),"先入料",SUMPRODUCT((PURCHASE!$A$2:$A$997=MAIN!A64)*PURCHASE!$C$2:$C$997)-SUMPRODUCT((CONSUME!$A$2:$A$992=MAIN!A64)*CONSUME!$C$2:$C$992))</f>
        <v>0</v>
      </c>
      <c r="D64" s="2">
        <f>IF(ISNA(_xlfn.XMATCH(A64,PURCHASE!$A:$A)),"先入料",_xlfn.XLOOKUP(A64,PURCHASE!A:A,PURCHASE!D:D))</f>
        <v>0</v>
      </c>
      <c r="E64" s="4" t="str">
        <f>HYPERLINK("https://www.digikey.tw/product-detail/zh/yageo/RC0603FR-073K3L/311-3-30KHRCT-ND/730073","RC0603FR-073K3L")</f>
        <v>RC0603FR-073K3L</v>
      </c>
      <c r="F64" s="4" t="str">
        <f>HYPERLINK("https://www.yageo.com/upload/media/product/productsearch/datasheet/rchip/PYu-RC_Group_51_RoHS_L_11.pdf","pdf")</f>
        <v>pdf</v>
      </c>
      <c r="H64" s="10" t="s">
        <v>668</v>
      </c>
      <c r="I64" s="13">
        <v>1</v>
      </c>
      <c r="N64" s="13">
        <v>1</v>
      </c>
      <c r="O64" t="s">
        <v>198</v>
      </c>
    </row>
    <row r="65" spans="1:15" x14ac:dyDescent="0.25">
      <c r="A65" t="s">
        <v>199</v>
      </c>
      <c r="B65" s="2" t="str">
        <f>IF(ISNA(_xlfn.XMATCH(A65,PURCHASE!$A:$A)),"先入料",_xlfn.XLOOKUP(A65,PURCHASE!A:A,PURCHASE!B:B))</f>
        <v>R</v>
      </c>
      <c r="C65" s="2" cm="1">
        <f t="array" ref="C65">IF(ISNA(_xlfn.XMATCH(A65,PURCHASE!$A:$A)),"先入料",SUMPRODUCT((PURCHASE!$A$2:$A$997=MAIN!A65)*PURCHASE!$C$2:$C$997)-SUMPRODUCT((CONSUME!$A$2:$A$992=MAIN!A65)*CONSUME!$C$2:$C$992))</f>
        <v>0</v>
      </c>
      <c r="D65" s="2">
        <f>IF(ISNA(_xlfn.XMATCH(A65,PURCHASE!$A:$A)),"先入料",_xlfn.XLOOKUP(A65,PURCHASE!A:A,PURCHASE!D:D))</f>
        <v>0</v>
      </c>
      <c r="E65" s="4" t="str">
        <f>HYPERLINK("https://www.digikey.tw/product-detail/zh/yageo/RC0603FR-0739RL/311-39-0HRCT-ND/730141","RC0603FR-0739RL")</f>
        <v>RC0603FR-0739RL</v>
      </c>
      <c r="F65" s="4" t="str">
        <f>HYPERLINK("https://www.yageo.com/upload/media/product/productsearch/datasheet/rchip/PYu-RC_Group_51_RoHS_L_11.pdf","pdf")</f>
        <v>pdf</v>
      </c>
      <c r="H65" s="10" t="s">
        <v>29</v>
      </c>
      <c r="I65" s="13">
        <v>1</v>
      </c>
      <c r="O65" t="s">
        <v>200</v>
      </c>
    </row>
    <row r="66" spans="1:15" x14ac:dyDescent="0.25">
      <c r="A66" t="s">
        <v>201</v>
      </c>
      <c r="B66" s="2" t="str">
        <f>IF(ISNA(_xlfn.XMATCH(A66,PURCHASE!$A:$A)),"先入料",_xlfn.XLOOKUP(A66,PURCHASE!A:A,PURCHASE!B:B))</f>
        <v>R</v>
      </c>
      <c r="C66" s="2" cm="1">
        <f t="array" ref="C66">IF(ISNA(_xlfn.XMATCH(A66,PURCHASE!$A:$A)),"先入料",SUMPRODUCT((PURCHASE!$A$2:$A$997=MAIN!A66)*PURCHASE!$C$2:$C$997)-SUMPRODUCT((CONSUME!$A$2:$A$992=MAIN!A66)*CONSUME!$C$2:$C$992))</f>
        <v>0</v>
      </c>
      <c r="D66" s="2">
        <f>IF(ISNA(_xlfn.XMATCH(A66,PURCHASE!$A:$A)),"先入料",_xlfn.XLOOKUP(A66,PURCHASE!A:A,PURCHASE!D:D))</f>
        <v>0</v>
      </c>
      <c r="E66" s="4" t="str">
        <f>HYPERLINK("https://www.digikey.tw/product-detail/zh/yageo/RC0603FR-07620RL/311-620HRCT-ND/730284","RC0603FR-07620RL")</f>
        <v>RC0603FR-07620RL</v>
      </c>
      <c r="F66" s="4" t="str">
        <f>HYPERLINK("https://www.yageo.com/upload/media/product/productsearch/datasheet/rchip/PYu-RC_Group_51_RoHS_L_11.pdf","pdf")</f>
        <v>pdf</v>
      </c>
      <c r="H66" s="10" t="s">
        <v>29</v>
      </c>
      <c r="I66" s="13">
        <v>1</v>
      </c>
      <c r="O66" t="s">
        <v>202</v>
      </c>
    </row>
    <row r="67" spans="1:15" x14ac:dyDescent="0.25">
      <c r="A67" t="s">
        <v>159</v>
      </c>
      <c r="B67" s="2" t="str">
        <f>IF(ISNA(_xlfn.XMATCH(A67,PURCHASE!$A:$A)),"先入料",_xlfn.XLOOKUP(A67,PURCHASE!A:A,PURCHASE!B:B))</f>
        <v>SER</v>
      </c>
      <c r="C67" s="2" cm="1">
        <f t="array" ref="C67">IF(ISNA(_xlfn.XMATCH(A67,PURCHASE!$A:$A)),"先入料",SUMPRODUCT((PURCHASE!$A$2:$A$997=MAIN!A67)*PURCHASE!$C$2:$C$997)-SUMPRODUCT((CONSUME!$A$2:$A$992=MAIN!A67)*CONSUME!$C$2:$C$992))</f>
        <v>5</v>
      </c>
      <c r="D67" s="2" t="str">
        <f>IF(ISNA(_xlfn.XMATCH(A67,PURCHASE!$A:$A)),"先入料",_xlfn.XLOOKUP(A67,PURCHASE!A:A,PURCHASE!D:D))</f>
        <v>B2-2</v>
      </c>
      <c r="E67" s="4" t="str">
        <f>HYPERLINK("https://www.digikey.tw/product-detail/zh/texas-instruments/MAX3232CDR/296-13094-1-ND/484464","MAX3232CDR")</f>
        <v>MAX3232CDR</v>
      </c>
      <c r="F67" s="4" t="str">
        <f>HYPERLINK("https://polarisphotonics-my.sharepoint.com/personal/bw_shiau_polarisphotonics_com/Documents/papers/IC/Digital_TTL/MAX3232.pdf","pdf")</f>
        <v>pdf</v>
      </c>
      <c r="H67" s="10" t="s">
        <v>29</v>
      </c>
      <c r="I67" s="13">
        <v>1</v>
      </c>
      <c r="O67" t="s">
        <v>43</v>
      </c>
    </row>
    <row r="68" spans="1:15" x14ac:dyDescent="0.25">
      <c r="A68" t="s">
        <v>144</v>
      </c>
      <c r="B68" s="2" t="str">
        <f>IF(ISNA(_xlfn.XMATCH(A68,PURCHASE!$A:$A)),"先入料",_xlfn.XLOOKUP(A68,PURCHASE!A:A,PURCHASE!B:B))</f>
        <v>SER</v>
      </c>
      <c r="C68" s="2" cm="1">
        <f t="array" ref="C68">IF(ISNA(_xlfn.XMATCH(A68,PURCHASE!$A:$A)),"先入料",SUMPRODUCT((PURCHASE!$A$2:$A$997=MAIN!A68)*PURCHASE!$C$2:$C$997)-SUMPRODUCT((CONSUME!$A$2:$A$992=MAIN!A68)*CONSUME!$C$2:$C$992))</f>
        <v>4</v>
      </c>
      <c r="D68" s="2" t="str">
        <f>IF(ISNA(_xlfn.XMATCH(A68,PURCHASE!$A:$A)),"先入料",_xlfn.XLOOKUP(A68,PURCHASE!A:A,PURCHASE!D:D))</f>
        <v>B2-1</v>
      </c>
      <c r="E68" s="4" t="str">
        <f>HYPERLINK("https://www.digikey.tw/product-detail/zh/stmicroelectronics/ST3485EBDR/497-2080-1-ND/599097","ST3485EBDR")</f>
        <v>ST3485EBDR</v>
      </c>
      <c r="F68" s="4" t="str">
        <f>HYPERLINK("https://polarisphotonics-my.sharepoint.com/personal/bw_shiau_polarisphotonics_com/Documents/papers/IC/Digital_TTL/ST3485.pdf","pdf")</f>
        <v>pdf</v>
      </c>
      <c r="H68" s="10" t="s">
        <v>668</v>
      </c>
      <c r="I68" s="13">
        <v>1</v>
      </c>
      <c r="N68" s="13">
        <v>1</v>
      </c>
      <c r="O68" t="s">
        <v>145</v>
      </c>
    </row>
    <row r="69" spans="1:15" x14ac:dyDescent="0.25">
      <c r="A69" t="s">
        <v>125</v>
      </c>
      <c r="B69" s="2" t="str">
        <f>IF(ISNA(_xlfn.XMATCH(A69,PURCHASE!$A:$A)),"先入料",_xlfn.XLOOKUP(A69,PURCHASE!A:A,PURCHASE!B:B))</f>
        <v>VR</v>
      </c>
      <c r="C69" s="2" cm="1">
        <f t="array" ref="C69">IF(ISNA(_xlfn.XMATCH(A69,PURCHASE!$A:$A)),"先入料",SUMPRODUCT((PURCHASE!$A$2:$A$997=MAIN!A69)*PURCHASE!$C$2:$C$997)-SUMPRODUCT((CONSUME!$A$2:$A$992=MAIN!A69)*CONSUME!$C$2:$C$992))</f>
        <v>0</v>
      </c>
      <c r="D69" s="2">
        <f>IF(ISNA(_xlfn.XMATCH(A69,PURCHASE!$A:$A)),"先入料",_xlfn.XLOOKUP(A69,PURCHASE!A:A,PURCHASE!D:D))</f>
        <v>0</v>
      </c>
      <c r="E69" s="4" t="str">
        <f>HYPERLINK("https://www.digikey.tw/product-detail/zh/bourns-inc/3296W-1-103RLF/3296W-1-103RLFCT-ND/3759197", "3296W-1-103RLF")</f>
        <v>3296W-1-103RLF</v>
      </c>
      <c r="F69" s="4" t="str">
        <f>HYPERLINK("https://www.bourns.com/docs/product-datasheets/3296.pdf","pdf")</f>
        <v>pdf</v>
      </c>
      <c r="H69" s="10" t="s">
        <v>668</v>
      </c>
      <c r="I69" s="13">
        <v>1</v>
      </c>
      <c r="N69" s="13">
        <v>1</v>
      </c>
      <c r="O69" t="s">
        <v>127</v>
      </c>
    </row>
    <row r="70" spans="1:15" x14ac:dyDescent="0.25">
      <c r="A70" t="s">
        <v>203</v>
      </c>
      <c r="B70" s="2" t="str">
        <f>IF(ISNA(_xlfn.XMATCH(A70,PURCHASE!$A:$A)),"先入料",_xlfn.XLOOKUP(A70,PURCHASE!A:A,PURCHASE!B:B))</f>
        <v>CON</v>
      </c>
      <c r="C70" s="2" cm="1">
        <f t="array" ref="C70">IF(ISNA(_xlfn.XMATCH(A70,PURCHASE!$A:$A)),"先入料",SUMPRODUCT((PURCHASE!$A$2:$A$997=MAIN!A70)*PURCHASE!$C$2:$C$997)-SUMPRODUCT((CONSUME!$A$2:$A$992=MAIN!A70)*CONSUME!$C$2:$C$992))</f>
        <v>9</v>
      </c>
      <c r="D70" s="2" t="str">
        <f>IF(ISNA(_xlfn.XMATCH(A70,PURCHASE!$A:$A)),"先入料",_xlfn.XLOOKUP(A70,PURCHASE!A:A,PURCHASE!D:D))</f>
        <v>D1-2</v>
      </c>
      <c r="E70" s="4" t="str">
        <f>HYPERLINK("https://www.digikey.tw/product-detail/zh/SSW-106-03-F-S-RA/SSW-106-03-F-S-RA-ND/7893166?itemSeq=369178577", "SSW-106-03-F-S-RA")</f>
        <v>SSW-106-03-F-S-RA</v>
      </c>
      <c r="F70" s="4" t="str">
        <f>HYPERLINK("https://polarisphotonics-my.sharepoint.com/personal/bw_shiau_polarisphotonics_com/Documents/papers/IC/CONN/SSW-106-03-F-S-RA.pdf","pdf")</f>
        <v>pdf</v>
      </c>
      <c r="H70" s="10" t="s">
        <v>29</v>
      </c>
      <c r="I70" s="13">
        <v>1</v>
      </c>
      <c r="O70" t="s">
        <v>204</v>
      </c>
    </row>
    <row r="71" spans="1:15" x14ac:dyDescent="0.25">
      <c r="A71" t="s">
        <v>205</v>
      </c>
      <c r="B71" s="2" t="str">
        <f>IF(ISNA(_xlfn.XMATCH(A71,PURCHASE!$A:$A)),"先入料",_xlfn.XLOOKUP(A71,PURCHASE!A:A,PURCHASE!B:B))</f>
        <v>C</v>
      </c>
      <c r="C71" s="2" cm="1">
        <f t="array" ref="C71">IF(ISNA(_xlfn.XMATCH(A71,PURCHASE!$A:$A)),"先入料",SUMPRODUCT((PURCHASE!$A$2:$A$997=MAIN!A71)*PURCHASE!$C$2:$C$997)-SUMPRODUCT((CONSUME!$A$2:$A$992=MAIN!A71)*CONSUME!$C$2:$C$992))</f>
        <v>0</v>
      </c>
      <c r="D71" s="2">
        <f>IF(ISNA(_xlfn.XMATCH(A71,PURCHASE!$A:$A)),"先入料",_xlfn.XLOOKUP(A71,PURCHASE!A:A,PURCHASE!D:D))</f>
        <v>0</v>
      </c>
      <c r="E71" s="4" t="str">
        <f>HYPERLINK("https://www.digikey.tw/product-detail/zh/murata-electronics/GRT21BR61E226ME13L/490-12389-1-ND/5417090", "GRT21BR61E226ME13L")</f>
        <v>GRT21BR61E226ME13L</v>
      </c>
      <c r="F71" s="4" t="str">
        <f>HYPERLINK("https://search.murata.co.jp/Ceramy/image/img/A01X/G101/ENG/GRT21BR61E226ME13-01.pdf","pdf")</f>
        <v>pdf</v>
      </c>
      <c r="H71" s="10" t="s">
        <v>462</v>
      </c>
      <c r="K71" s="13">
        <v>6</v>
      </c>
      <c r="O71" t="s">
        <v>206</v>
      </c>
    </row>
    <row r="72" spans="1:15" x14ac:dyDescent="0.25">
      <c r="A72" t="s">
        <v>207</v>
      </c>
      <c r="B72" s="2" t="str">
        <f>IF(ISNA(_xlfn.XMATCH(A72,PURCHASE!$A:$A)),"先入料",_xlfn.XLOOKUP(A72,PURCHASE!A:A,PURCHASE!B:B))</f>
        <v>C</v>
      </c>
      <c r="C72" s="2" cm="1">
        <f t="array" ref="C72">IF(ISNA(_xlfn.XMATCH(A72,PURCHASE!$A:$A)),"先入料",SUMPRODUCT((PURCHASE!$A$2:$A$997=MAIN!A72)*PURCHASE!$C$2:$C$997)-SUMPRODUCT((CONSUME!$A$2:$A$992=MAIN!A72)*CONSUME!$C$2:$C$992))</f>
        <v>0</v>
      </c>
      <c r="D72" s="2">
        <f>IF(ISNA(_xlfn.XMATCH(A72,PURCHASE!$A:$A)),"先入料",_xlfn.XLOOKUP(A72,PURCHASE!A:A,PURCHASE!D:D))</f>
        <v>0</v>
      </c>
      <c r="E72" s="4" t="str">
        <f>HYPERLINK("https://www.digikey.tw/product-detail/zh/murata-electronics/GRM155C81E225ME11D/490-13235-1-ND/5877443", "GRM155C81E225ME11D")</f>
        <v>GRM155C81E225ME11D</v>
      </c>
      <c r="F72" s="4" t="str">
        <f>HYPERLINK("https://search.murata.co.jp/Ceramy/image/img/A01X/G101/ENG/GRM155C81E225ME11-01.pdf","pdf")</f>
        <v>pdf</v>
      </c>
      <c r="H72" s="10" t="s">
        <v>380</v>
      </c>
      <c r="J72" s="13">
        <v>1</v>
      </c>
      <c r="O72" t="s">
        <v>208</v>
      </c>
    </row>
    <row r="73" spans="1:15" x14ac:dyDescent="0.25">
      <c r="A73" t="s">
        <v>209</v>
      </c>
      <c r="B73" s="2" t="str">
        <f>IF(ISNA(_xlfn.XMATCH(A73,PURCHASE!$A:$A)),"先入料",_xlfn.XLOOKUP(A73,PURCHASE!A:A,PURCHASE!B:B))</f>
        <v>R</v>
      </c>
      <c r="C73" s="2" cm="1">
        <f t="array" ref="C73">IF(ISNA(_xlfn.XMATCH(A73,PURCHASE!$A:$A)),"先入料",SUMPRODUCT((PURCHASE!$A$2:$A$997=MAIN!A73)*PURCHASE!$C$2:$C$997)-SUMPRODUCT((CONSUME!$A$2:$A$992=MAIN!A73)*CONSUME!$C$2:$C$992))</f>
        <v>0</v>
      </c>
      <c r="D73" s="2">
        <f>IF(ISNA(_xlfn.XMATCH(A73,PURCHASE!$A:$A)),"先入料",_xlfn.XLOOKUP(A73,PURCHASE!A:A,PURCHASE!D:D))</f>
        <v>0</v>
      </c>
      <c r="E73" s="4" t="str">
        <f>HYPERLINK("https://www.digikey.tw/product-detail/zh/yageo/RC0402FR-0733RL/311-33-0LRCT-ND/729540","RC0402FR-0733RL")</f>
        <v>RC0402FR-0733RL</v>
      </c>
      <c r="F73" s="4" t="str">
        <f>HYPERLINK("https://www.yageo.com/upload/media/product/productsearch/datasheet/rchip/PYu-RC_Group_51_RoHS_L_11.pdf","pdf")</f>
        <v>pdf</v>
      </c>
      <c r="H73" s="10" t="s">
        <v>380</v>
      </c>
      <c r="J73" s="13">
        <v>0</v>
      </c>
      <c r="O73" t="s">
        <v>210</v>
      </c>
    </row>
    <row r="74" spans="1:15" x14ac:dyDescent="0.25">
      <c r="A74" t="s">
        <v>211</v>
      </c>
      <c r="B74" s="2" t="str">
        <f>IF(ISNA(_xlfn.XMATCH(A74,PURCHASE!$A:$A)),"先入料",_xlfn.XLOOKUP(A74,PURCHASE!A:A,PURCHASE!B:B))</f>
        <v>C</v>
      </c>
      <c r="C74" s="2" cm="1">
        <f t="array" ref="C74">IF(ISNA(_xlfn.XMATCH(A74,PURCHASE!$A:$A)),"先入料",SUMPRODUCT((PURCHASE!$A$2:$A$997=MAIN!A74)*PURCHASE!$C$2:$C$997)-SUMPRODUCT((CONSUME!$A$2:$A$992=MAIN!A74)*CONSUME!$C$2:$C$992))</f>
        <v>48</v>
      </c>
      <c r="D74" s="2" t="str">
        <f>IF(ISNA(_xlfn.XMATCH(A74,PURCHASE!$A:$A)),"先入料",_xlfn.XLOOKUP(A74,PURCHASE!A:A,PURCHASE!D:D))</f>
        <v>C3-2</v>
      </c>
      <c r="E74" s="4" t="str">
        <f>HYPERLINK("https://www.digikey.tw/product-detail/zh/murata-electronics/GRM155R71E104KE14J/490-14603-1-ND/6606209", "GRM155R71E104KE14J")</f>
        <v>GRM155R71E104KE14J</v>
      </c>
      <c r="F74" s="4" t="str">
        <f>HYPERLINK("https://search.murata.co.jp/Ceramy/image/img/A01X/G101/ENG/GRM155R71E104KE14-01.pdf","pdf")</f>
        <v>pdf</v>
      </c>
      <c r="H74" s="10" t="s">
        <v>466</v>
      </c>
      <c r="J74" s="13">
        <v>33</v>
      </c>
      <c r="K74" s="13">
        <v>15</v>
      </c>
      <c r="O74" t="s">
        <v>212</v>
      </c>
    </row>
    <row r="75" spans="1:15" x14ac:dyDescent="0.25">
      <c r="A75" t="s">
        <v>214</v>
      </c>
      <c r="B75" s="2" t="str">
        <f>IF(ISNA(_xlfn.XMATCH(A75,PURCHASE!$A:$A)),"先入料",_xlfn.XLOOKUP(A75,PURCHASE!A:A,PURCHASE!B:B))</f>
        <v>C</v>
      </c>
      <c r="C75" s="2" cm="1">
        <f t="array" ref="C75">IF(ISNA(_xlfn.XMATCH(A75,PURCHASE!$A:$A)),"先入料",SUMPRODUCT((PURCHASE!$A$2:$A$997=MAIN!A75)*PURCHASE!$C$2:$C$997)-SUMPRODUCT((CONSUME!$A$2:$A$992=MAIN!A75)*CONSUME!$C$2:$C$992))</f>
        <v>3</v>
      </c>
      <c r="D75" s="2" t="str">
        <f>IF(ISNA(_xlfn.XMATCH(A75,PURCHASE!$A:$A)),"先入料",_xlfn.XLOOKUP(A75,PURCHASE!A:A,PURCHASE!D:D))</f>
        <v>C4</v>
      </c>
      <c r="E75" s="4" t="str">
        <f>HYPERLINK("https://www.digikey.tw/product-detail/zh/murata-electronics/LLA219C70G225MA01L/490-4422-1-ND/1022566", "LLA219C70G225MA01L")</f>
        <v>LLA219C70G225MA01L</v>
      </c>
      <c r="F75" s="4" t="str">
        <f>HYPERLINK("https://search.murata.co.jp/Ceramy/image/img/A01X/G101/ENG/LLA219C70G225MA01-01.pdf","pdf")</f>
        <v>pdf</v>
      </c>
      <c r="H75" s="10" t="s">
        <v>380</v>
      </c>
      <c r="J75" s="13">
        <v>1</v>
      </c>
      <c r="O75" t="s">
        <v>213</v>
      </c>
    </row>
    <row r="76" spans="1:15" x14ac:dyDescent="0.25">
      <c r="A76" t="s">
        <v>215</v>
      </c>
      <c r="B76" s="2" t="str">
        <f>IF(ISNA(_xlfn.XMATCH(A76,PURCHASE!$A:$A)),"先入料",_xlfn.XLOOKUP(A76,PURCHASE!A:A,PURCHASE!B:B))</f>
        <v>C</v>
      </c>
      <c r="C76" s="2" cm="1">
        <f t="array" ref="C76">IF(ISNA(_xlfn.XMATCH(A76,PURCHASE!$A:$A)),"先入料",SUMPRODUCT((PURCHASE!$A$2:$A$997=MAIN!A76)*PURCHASE!$C$2:$C$997)-SUMPRODUCT((CONSUME!$A$2:$A$992=MAIN!A76)*CONSUME!$C$2:$C$992))</f>
        <v>0</v>
      </c>
      <c r="D76" s="2">
        <f>IF(ISNA(_xlfn.XMATCH(A76,PURCHASE!$A:$A)),"先入料",_xlfn.XLOOKUP(A76,PURCHASE!A:A,PURCHASE!D:D))</f>
        <v>0</v>
      </c>
      <c r="E76" s="4" t="str">
        <f>HYPERLINK("https://www.digikey.tw/product-detail/zh/murata-electronics/GRJ155R60J106ME11D/490-13211-1-ND/5877419", "GRJ155R60J106ME11D")</f>
        <v>GRJ155R60J106ME11D</v>
      </c>
      <c r="F76" s="4" t="str">
        <f>HYPERLINK("https://search.murata.co.jp/Ceramy/image/img/A01X/G101/ENG/GRJ155R60J106ME11-01.pdf","pdf")</f>
        <v>pdf</v>
      </c>
      <c r="H76" s="10" t="s">
        <v>380</v>
      </c>
      <c r="J76" s="13">
        <v>14</v>
      </c>
      <c r="O76" t="s">
        <v>216</v>
      </c>
    </row>
    <row r="77" spans="1:15" x14ac:dyDescent="0.25">
      <c r="A77" t="s">
        <v>217</v>
      </c>
      <c r="B77" s="2" t="str">
        <f>IF(ISNA(_xlfn.XMATCH(A77,PURCHASE!$A:$A)),"先入料",_xlfn.XLOOKUP(A77,PURCHASE!A:A,PURCHASE!B:B))</f>
        <v>C</v>
      </c>
      <c r="C77" s="2" cm="1">
        <f t="array" ref="C77">IF(ISNA(_xlfn.XMATCH(A77,PURCHASE!$A:$A)),"先入料",SUMPRODUCT((PURCHASE!$A$2:$A$997=MAIN!A77)*PURCHASE!$C$2:$C$997)-SUMPRODUCT((CONSUME!$A$2:$A$992=MAIN!A77)*CONSUME!$C$2:$C$992))</f>
        <v>0</v>
      </c>
      <c r="D77" s="2">
        <f>IF(ISNA(_xlfn.XMATCH(A77,PURCHASE!$A:$A)),"先入料",_xlfn.XLOOKUP(A77,PURCHASE!A:A,PURCHASE!D:D))</f>
        <v>0</v>
      </c>
      <c r="E77" s="4" t="str">
        <f>HYPERLINK("https://www.digikey.tw/product-detail/zh/murata-electronics/GCM1555C1H101FA16J/490-GCM1555C1H101FA16JCT-ND/11619179", "GCM1555C1H101FA16J")</f>
        <v>GCM1555C1H101FA16J</v>
      </c>
      <c r="F77" s="4" t="str">
        <f>HYPERLINK("https://search.murata.co.jp/Ceramy/image/img/A01X/G101/ENG/GCM1555C1H101FA16-01.pdf","pdf")</f>
        <v>pdf</v>
      </c>
      <c r="H77" s="10" t="s">
        <v>380</v>
      </c>
      <c r="J77" s="13">
        <v>9</v>
      </c>
      <c r="O77" t="s">
        <v>218</v>
      </c>
    </row>
    <row r="78" spans="1:15" x14ac:dyDescent="0.25">
      <c r="A78" t="s">
        <v>219</v>
      </c>
      <c r="B78" s="2" t="str">
        <f>IF(ISNA(_xlfn.XMATCH(A78,PURCHASE!$A:$A)),"先入料",_xlfn.XLOOKUP(A78,PURCHASE!A:A,PURCHASE!B:B))</f>
        <v>C</v>
      </c>
      <c r="C78" s="2" cm="1">
        <f t="array" ref="C78">IF(ISNA(_xlfn.XMATCH(A78,PURCHASE!$A:$A)),"先入料",SUMPRODUCT((PURCHASE!$A$2:$A$997=MAIN!A78)*PURCHASE!$C$2:$C$997)-SUMPRODUCT((CONSUME!$A$2:$A$992=MAIN!A78)*CONSUME!$C$2:$C$992))</f>
        <v>50</v>
      </c>
      <c r="D78" s="2">
        <f>IF(ISNA(_xlfn.XMATCH(A78,PURCHASE!$A:$A)),"先入料",_xlfn.XLOOKUP(A78,PURCHASE!A:A,PURCHASE!D:D))</f>
        <v>0</v>
      </c>
      <c r="E78" s="4" t="str">
        <f>HYPERLINK("https://www.digikey.tw/zh/products/detail/murata-electronics/GCM155R71H102KA37D/1641635?s=N4IgTCBcDaIOIGECyBGArGgSgdhQCRQAYwBpAQQGZsAREAXQF8g", "GCM155R71H102KA37D")</f>
        <v>GCM155R71H102KA37D</v>
      </c>
      <c r="F78" s="4" t="str">
        <f>HYPERLINK("https://search.murata.co.jp/Ceramy/image/img/A01X/G101/ENG/GCM155R71H102KA37-01.pdf","pdf")</f>
        <v>pdf</v>
      </c>
      <c r="H78" s="10" t="s">
        <v>380</v>
      </c>
      <c r="J78" s="13">
        <v>13</v>
      </c>
      <c r="O78" t="s">
        <v>220</v>
      </c>
    </row>
    <row r="79" spans="1:15" x14ac:dyDescent="0.25">
      <c r="A79" t="s">
        <v>422</v>
      </c>
      <c r="B79" s="2" t="str">
        <f>IF(ISNA(_xlfn.XMATCH(A79,PURCHASE!$A:$A)),"先入料",_xlfn.XLOOKUP(A79,PURCHASE!A:A,PURCHASE!B:B))</f>
        <v>XTAL</v>
      </c>
      <c r="C79" s="2" cm="1">
        <f t="array" ref="C79">IF(ISNA(_xlfn.XMATCH(A79,PURCHASE!$A:$A)),"先入料",SUMPRODUCT((PURCHASE!$A$2:$A$997=MAIN!A79)*PURCHASE!$C$2:$C$997)-SUMPRODUCT((CONSUME!$A$2:$A$992=MAIN!A79)*CONSUME!$C$2:$C$992))</f>
        <v>0</v>
      </c>
      <c r="D79" s="2">
        <f>IF(ISNA(_xlfn.XMATCH(A79,PURCHASE!$A:$A)),"先入料",_xlfn.XLOOKUP(A79,PURCHASE!A:A,PURCHASE!D:D))</f>
        <v>0</v>
      </c>
      <c r="E79" s="4" t="str">
        <f>HYPERLINK("https://www.digikey.tw/product-detail/zh/microchip-technology/DSC1103BL2-125-0000/DSC1103BL2-125-0000-ND/4958762", "DSC1103BL2-125.0000")</f>
        <v>DSC1103BL2-125.0000</v>
      </c>
      <c r="F79" s="4" t="str">
        <f>HYPERLINK("https://polarisphotonics-my.sharepoint.com/personal/bw_shiau_polarisphotonics_com/Documents/papers/IC/XTAL/microchip_125MHz.pdf","pdf")</f>
        <v>pdf</v>
      </c>
      <c r="H79" s="10" t="s">
        <v>380</v>
      </c>
      <c r="O79" t="s">
        <v>223</v>
      </c>
    </row>
    <row r="80" spans="1:15" x14ac:dyDescent="0.25">
      <c r="A80" t="s">
        <v>224</v>
      </c>
      <c r="B80" s="2" t="str">
        <f>IF(ISNA(_xlfn.XMATCH(A80,PURCHASE!$A:$A)),"先入料",_xlfn.XLOOKUP(A80,PURCHASE!A:A,PURCHASE!B:B))</f>
        <v>C</v>
      </c>
      <c r="C80" s="2" cm="1">
        <f t="array" ref="C80">IF(ISNA(_xlfn.XMATCH(A80,PURCHASE!$A:$A)),"先入料",SUMPRODUCT((PURCHASE!$A$2:$A$997=MAIN!A80)*PURCHASE!$C$2:$C$997)-SUMPRODUCT((CONSUME!$A$2:$A$992=MAIN!A80)*CONSUME!$C$2:$C$992))</f>
        <v>0</v>
      </c>
      <c r="D80" s="2">
        <f>IF(ISNA(_xlfn.XMATCH(A80,PURCHASE!$A:$A)),"先入料",_xlfn.XLOOKUP(A80,PURCHASE!A:A,PURCHASE!D:D))</f>
        <v>0</v>
      </c>
      <c r="E80" s="4" t="str">
        <f>HYPERLINK("https://www.digikey.tw/product-detail/zh/murata-electronics/GCM155R71H103KA55J/490-13295-1-ND/5973389", "GCM155R71H103KA55J")</f>
        <v>GCM155R71H103KA55J</v>
      </c>
      <c r="F80" s="4" t="str">
        <f>HYPERLINK("https://search.murata.co.jp/Ceramy/image/img/A01X/G101/ENG/GCM155R71H103KA55-01.pdf","pdf")</f>
        <v>pdf</v>
      </c>
      <c r="H80" s="10" t="s">
        <v>667</v>
      </c>
      <c r="J80" s="13">
        <v>1</v>
      </c>
      <c r="K80" s="13">
        <v>4</v>
      </c>
      <c r="N80" s="13">
        <v>2</v>
      </c>
      <c r="O80" t="s">
        <v>225</v>
      </c>
    </row>
    <row r="81" spans="1:15" x14ac:dyDescent="0.25">
      <c r="A81" t="s">
        <v>226</v>
      </c>
      <c r="B81" s="2" t="str">
        <f>IF(ISNA(_xlfn.XMATCH(A81,PURCHASE!$A:$A)),"先入料",_xlfn.XLOOKUP(A81,PURCHASE!A:A,PURCHASE!B:B))</f>
        <v>R</v>
      </c>
      <c r="C81" s="2" cm="1">
        <f t="array" ref="C81">IF(ISNA(_xlfn.XMATCH(A81,PURCHASE!$A:$A)),"先入料",SUMPRODUCT((PURCHASE!$A$2:$A$997=MAIN!A81)*PURCHASE!$C$2:$C$997)-SUMPRODUCT((CONSUME!$A$2:$A$992=MAIN!A81)*CONSUME!$C$2:$C$992))</f>
        <v>0</v>
      </c>
      <c r="D81" s="2">
        <f>IF(ISNA(_xlfn.XMATCH(A81,PURCHASE!$A:$A)),"先入料",_xlfn.XLOOKUP(A81,PURCHASE!A:A,PURCHASE!D:D))</f>
        <v>0</v>
      </c>
      <c r="E81" s="4" t="str">
        <f>HYPERLINK("https://www.digikey.tw/product-detail/zh/yageo/RT0402FRE07100RL/YAG3342CT-ND/5418047","RT0402FRE07100RL")</f>
        <v>RT0402FRE07100RL</v>
      </c>
      <c r="F81" s="4" t="str">
        <f>HYPERLINK("https://www.yageo.com/upload/media/product/productsearch/datasheet/rchip/PYu-RT_1-to-0.01_RoHS_L_12.pdf","pdf")</f>
        <v>pdf</v>
      </c>
      <c r="H81" s="10" t="s">
        <v>466</v>
      </c>
      <c r="J81" s="13">
        <v>1</v>
      </c>
      <c r="K81" s="13">
        <v>1</v>
      </c>
      <c r="O81" t="s">
        <v>227</v>
      </c>
    </row>
    <row r="82" spans="1:15" x14ac:dyDescent="0.25">
      <c r="A82" t="s">
        <v>228</v>
      </c>
      <c r="B82" s="2" t="str">
        <f>IF(ISNA(_xlfn.XMATCH(A82,PURCHASE!$A:$A)),"先入料",_xlfn.XLOOKUP(A82,PURCHASE!A:A,PURCHASE!B:B))</f>
        <v>OP</v>
      </c>
      <c r="C82" s="2" cm="1">
        <f t="array" ref="C82">IF(ISNA(_xlfn.XMATCH(A82,PURCHASE!$A:$A)),"先入料",SUMPRODUCT((PURCHASE!$A$2:$A$997=MAIN!A82)*PURCHASE!$C$2:$C$997)-SUMPRODUCT((CONSUME!$A$2:$A$992=MAIN!A82)*CONSUME!$C$2:$C$992))</f>
        <v>159</v>
      </c>
      <c r="D82" s="2" t="str">
        <f>IF(ISNA(_xlfn.XMATCH(A82,PURCHASE!$A:$A)),"先入料",_xlfn.XLOOKUP(A82,PURCHASE!A:A,PURCHASE!D:D))</f>
        <v>A7-1</v>
      </c>
      <c r="E82" s="4" t="str">
        <f>HYPERLINK("https://www.digikey.tw/product-detail/zh/texas-instruments/LMH6612MAX-NOPB/296-46310-1-ND/7033484","LMH6612MAX/NOPB")</f>
        <v>LMH6612MAX/NOPB</v>
      </c>
      <c r="F82" s="4" t="str">
        <f>HYPERLINK("https://polarisphotonics-my.sharepoint.com/personal/bw_shiau_polarisphotonics_com/Documents/papers/IC/OP/LMH6612.pdf","pdf")</f>
        <v>pdf</v>
      </c>
      <c r="H82" s="10" t="s">
        <v>693</v>
      </c>
      <c r="J82" s="13">
        <v>1</v>
      </c>
      <c r="K82" s="13">
        <v>1</v>
      </c>
      <c r="M82" s="13">
        <v>3</v>
      </c>
      <c r="N82" s="13">
        <v>1</v>
      </c>
      <c r="O82" t="s">
        <v>229</v>
      </c>
    </row>
    <row r="83" spans="1:15" x14ac:dyDescent="0.25">
      <c r="A83" t="s">
        <v>231</v>
      </c>
      <c r="B83" s="2" t="str">
        <f>IF(ISNA(_xlfn.XMATCH(A83,PURCHASE!$A:$A)),"先入料",_xlfn.XLOOKUP(A83,PURCHASE!A:A,PURCHASE!B:B))</f>
        <v>OP</v>
      </c>
      <c r="C83" s="2" cm="1">
        <f t="array" ref="C83">IF(ISNA(_xlfn.XMATCH(A83,PURCHASE!$A:$A)),"先入料",SUMPRODUCT((PURCHASE!$A$2:$A$997=MAIN!A83)*PURCHASE!$C$2:$C$997)-SUMPRODUCT((CONSUME!$A$2:$A$992=MAIN!A83)*CONSUME!$C$2:$C$992))</f>
        <v>4</v>
      </c>
      <c r="D83" s="2" t="str">
        <f>IF(ISNA(_xlfn.XMATCH(A83,PURCHASE!$A:$A)),"先入料",_xlfn.XLOOKUP(A83,PURCHASE!A:A,PURCHASE!D:D))</f>
        <v>A8-2</v>
      </c>
      <c r="E83" s="4" t="str">
        <f>HYPERLINK("https://www.digikey.tw/product-detail/zh/analog-devices-inc/ADA4932-1YCPZ-R7/ADA4932-1YCPZ-R7CT-ND/1979433","ADA4932-1YCPZ-R7")</f>
        <v>ADA4932-1YCPZ-R7</v>
      </c>
      <c r="F83" s="4" t="str">
        <f>HYPERLINK("https://polarisphotonics-my.sharepoint.com/personal/bw_shiau_polarisphotonics_com/Documents/papers/IC/OP/ADA4932.pdf","pdf")</f>
        <v>pdf</v>
      </c>
      <c r="G83" s="4" t="str">
        <f>HYPERLINK("https://polarisphotonics-my.sharepoint.com/personal/bw_shiau_polarisphotonics_com/Documents/papers/IC/OP/ADA4932_EVB.pdf","pdf")</f>
        <v>pdf</v>
      </c>
      <c r="H83" s="10" t="s">
        <v>534</v>
      </c>
      <c r="J83" s="13">
        <v>1</v>
      </c>
      <c r="M83" s="13">
        <v>2</v>
      </c>
      <c r="O83" t="s">
        <v>230</v>
      </c>
    </row>
    <row r="84" spans="1:15" x14ac:dyDescent="0.25">
      <c r="A84" t="s">
        <v>232</v>
      </c>
      <c r="B84" s="2" t="str">
        <f>IF(ISNA(_xlfn.XMATCH(A84,PURCHASE!$A:$A)),"先入料",_xlfn.XLOOKUP(A84,PURCHASE!A:A,PURCHASE!B:B))</f>
        <v>R</v>
      </c>
      <c r="C84" s="2" cm="1">
        <f t="array" ref="C84">IF(ISNA(_xlfn.XMATCH(A84,PURCHASE!$A:$A)),"先入料",SUMPRODUCT((PURCHASE!$A$2:$A$997=MAIN!A84)*PURCHASE!$C$2:$C$997)-SUMPRODUCT((CONSUME!$A$2:$A$992=MAIN!A84)*CONSUME!$C$2:$C$992))</f>
        <v>0</v>
      </c>
      <c r="D84" s="2">
        <f>IF(ISNA(_xlfn.XMATCH(A84,PURCHASE!$A:$A)),"先入料",_xlfn.XLOOKUP(A84,PURCHASE!A:A,PURCHASE!D:D))</f>
        <v>0</v>
      </c>
      <c r="E84" s="4" t="str">
        <f>HYPERLINK("https://www.digikey.tw/product-detail/zh/stackpole-electronics-inc/RNCP1206FTD49R9/RNCP1206FTD49R9CT-ND/2240649","RNCP1206FTD49R9")</f>
        <v>RNCP1206FTD49R9</v>
      </c>
      <c r="F84" s="4" t="str">
        <f>HYPERLINK("https://www.yageo.com/upload/media/product/productsearch/datasheet/rchip/PYu-RT_1-to-0.01_RoHS_L_12.pdf","pdf")</f>
        <v>pdf</v>
      </c>
      <c r="H84" s="10" t="s">
        <v>462</v>
      </c>
      <c r="K84" s="13">
        <v>1</v>
      </c>
      <c r="O84" t="s">
        <v>233</v>
      </c>
    </row>
    <row r="85" spans="1:15" x14ac:dyDescent="0.25">
      <c r="A85" t="s">
        <v>249</v>
      </c>
      <c r="B85" s="2" t="str">
        <f>IF(ISNA(_xlfn.XMATCH(A85,PURCHASE!$A:$A)),"先入料",_xlfn.XLOOKUP(A85,PURCHASE!A:A,PURCHASE!B:B))</f>
        <v>R</v>
      </c>
      <c r="C85" s="2" cm="1">
        <f t="array" ref="C85">IF(ISNA(_xlfn.XMATCH(A85,PURCHASE!$A:$A)),"先入料",SUMPRODUCT((PURCHASE!$A$2:$A$997=MAIN!A85)*PURCHASE!$C$2:$C$997)-SUMPRODUCT((CONSUME!$A$2:$A$992=MAIN!A85)*CONSUME!$C$2:$C$992))</f>
        <v>0</v>
      </c>
      <c r="D85" s="2">
        <f>IF(ISNA(_xlfn.XMATCH(A85,PURCHASE!$A:$A)),"先入料",_xlfn.XLOOKUP(A85,PURCHASE!A:A,PURCHASE!D:D))</f>
        <v>0</v>
      </c>
      <c r="E85" s="4" t="str">
        <f>HYPERLINK("https://www.digikey.tw/product-detail/zh/yageo/RT0402FRE071KL/YAG1234CT-ND/4340587","RT0402FRE071KL")</f>
        <v>RT0402FRE071KL</v>
      </c>
      <c r="F85" s="4" t="str">
        <f>HYPERLINK("https://www.yageo.com/upload/media/product/productsearch/datasheet/rchip/PYu-RT_1-to-0.01_RoHS_L_12.pdf","pdf")</f>
        <v>pdf</v>
      </c>
      <c r="H85" s="10" t="s">
        <v>466</v>
      </c>
      <c r="J85" s="13">
        <v>2</v>
      </c>
      <c r="K85" s="13">
        <v>1</v>
      </c>
      <c r="O85" t="s">
        <v>251</v>
      </c>
    </row>
    <row r="86" spans="1:15" x14ac:dyDescent="0.25">
      <c r="A86" t="s">
        <v>248</v>
      </c>
      <c r="B86" s="2" t="str">
        <f>IF(ISNA(_xlfn.XMATCH(A86,PURCHASE!$A:$A)),"先入料",_xlfn.XLOOKUP(A86,PURCHASE!A:A,PURCHASE!B:B))</f>
        <v>R</v>
      </c>
      <c r="C86" s="2" cm="1">
        <f t="array" ref="C86">IF(ISNA(_xlfn.XMATCH(A86,PURCHASE!$A:$A)),"先入料",SUMPRODUCT((PURCHASE!$A$2:$A$997=MAIN!A86)*PURCHASE!$C$2:$C$997)-SUMPRODUCT((CONSUME!$A$2:$A$992=MAIN!A86)*CONSUME!$C$2:$C$992))</f>
        <v>0</v>
      </c>
      <c r="D86" s="2">
        <f>IF(ISNA(_xlfn.XMATCH(A86,PURCHASE!$A:$A)),"先入料",_xlfn.XLOOKUP(A86,PURCHASE!A:A,PURCHASE!D:D))</f>
        <v>0</v>
      </c>
      <c r="E86" s="4" t="str">
        <f>HYPERLINK("https://www.digikey.tw/product-detail/zh/yageo/RC0402FR-073KL/311-3KLRCT-ND/2827904","RC0402FR-073KL")</f>
        <v>RC0402FR-073KL</v>
      </c>
      <c r="F86" s="4" t="str">
        <f>HYPERLINK("https://www.yageo.com/upload/media/product/productsearch/datasheet/rchip/PYu-RC_Group_51_RoHS_L_11.pdf","pdf")</f>
        <v>pdf</v>
      </c>
      <c r="H86" s="10" t="s">
        <v>380</v>
      </c>
      <c r="K86" s="13">
        <v>1</v>
      </c>
      <c r="O86" t="s">
        <v>250</v>
      </c>
    </row>
    <row r="87" spans="1:15" x14ac:dyDescent="0.25">
      <c r="A87" t="s">
        <v>234</v>
      </c>
      <c r="B87" s="2" t="str">
        <f>IF(ISNA(_xlfn.XMATCH(A87,PURCHASE!$A:$A)),"先入料",_xlfn.XLOOKUP(A87,PURCHASE!A:A,PURCHASE!B:B))</f>
        <v>C</v>
      </c>
      <c r="C87" s="2" cm="1">
        <f t="array" ref="C87">IF(ISNA(_xlfn.XMATCH(A87,PURCHASE!$A:$A)),"先入料",SUMPRODUCT((PURCHASE!$A$2:$A$997=MAIN!A87)*PURCHASE!$C$2:$C$997)-SUMPRODUCT((CONSUME!$A$2:$A$992=MAIN!A87)*CONSUME!$C$2:$C$992))</f>
        <v>0</v>
      </c>
      <c r="D87" s="2">
        <f>IF(ISNA(_xlfn.XMATCH(A87,PURCHASE!$A:$A)),"先入料",_xlfn.XLOOKUP(A87,PURCHASE!A:A,PURCHASE!D:D))</f>
        <v>0</v>
      </c>
      <c r="E87" s="4" t="str">
        <f>HYPERLINK("https://www.digikey.tw/product-detail/zh/murata-electronics/GCM1555C1H4R0CA16D/490-17753-1-ND/8539989", "GCM1555C1H4R0CA16D")</f>
        <v>GCM1555C1H4R0CA16D</v>
      </c>
      <c r="F87" s="4" t="str">
        <f>HYPERLINK("https://search.murata.co.jp/Ceramy/image/img/A01X/G101/ENG/GCM1555C1H4R0CA16-01.pdf","pdf")</f>
        <v>pdf</v>
      </c>
      <c r="H87" s="10" t="s">
        <v>462</v>
      </c>
      <c r="K87" s="13">
        <v>1</v>
      </c>
      <c r="O87" t="s">
        <v>235</v>
      </c>
    </row>
    <row r="88" spans="1:15" x14ac:dyDescent="0.25">
      <c r="A88" t="s">
        <v>236</v>
      </c>
      <c r="B88" s="2" t="str">
        <f>IF(ISNA(_xlfn.XMATCH(A88,PURCHASE!$A:$A)),"先入料",_xlfn.XLOOKUP(A88,PURCHASE!A:A,PURCHASE!B:B))</f>
        <v>R</v>
      </c>
      <c r="C88" s="2" cm="1">
        <f t="array" ref="C88">IF(ISNA(_xlfn.XMATCH(A88,PURCHASE!$A:$A)),"先入料",SUMPRODUCT((PURCHASE!$A$2:$A$997=MAIN!A88)*PURCHASE!$C$2:$C$997)-SUMPRODUCT((CONSUME!$A$2:$A$992=MAIN!A88)*CONSUME!$C$2:$C$992))</f>
        <v>0</v>
      </c>
      <c r="D88" s="2">
        <f>IF(ISNA(_xlfn.XMATCH(A88,PURCHASE!$A:$A)),"先入料",_xlfn.XLOOKUP(A88,PURCHASE!A:A,PURCHASE!D:D))</f>
        <v>0</v>
      </c>
      <c r="E88" s="4" t="str">
        <f>HYPERLINK("https://www.digikey.tw/product-detail/zh/yageo/RC0402FR-07510RL/311-510LRCT-ND/729579","RC0402FR-07510RL")</f>
        <v>RC0402FR-07510RL</v>
      </c>
      <c r="F88" s="4" t="str">
        <f t="shared" ref="F88" si="0">HYPERLINK("https://www.yageo.com/upload/media/product/productsearch/datasheet/rchip/PYu-RT_1-to-0.01_RoHS_L_12.pdf","pdf")</f>
        <v>pdf</v>
      </c>
      <c r="H88" s="10" t="s">
        <v>380</v>
      </c>
      <c r="J88" s="13">
        <v>4</v>
      </c>
      <c r="O88" t="s">
        <v>237</v>
      </c>
    </row>
    <row r="89" spans="1:15" x14ac:dyDescent="0.25">
      <c r="A89" t="s">
        <v>238</v>
      </c>
      <c r="B89" s="2" t="str">
        <f>IF(ISNA(_xlfn.XMATCH(A89,PURCHASE!$A:$A)),"先入料",_xlfn.XLOOKUP(A89,PURCHASE!A:A,PURCHASE!B:B))</f>
        <v>C</v>
      </c>
      <c r="C89" s="2" cm="1">
        <f t="array" ref="C89">IF(ISNA(_xlfn.XMATCH(A89,PURCHASE!$A:$A)),"先入料",SUMPRODUCT((PURCHASE!$A$2:$A$997=MAIN!A89)*PURCHASE!$C$2:$C$997)-SUMPRODUCT((CONSUME!$A$2:$A$992=MAIN!A89)*CONSUME!$C$2:$C$992))</f>
        <v>0</v>
      </c>
      <c r="D89" s="2">
        <f>IF(ISNA(_xlfn.XMATCH(A89,PURCHASE!$A:$A)),"先入料",_xlfn.XLOOKUP(A89,PURCHASE!A:A,PURCHASE!D:D))</f>
        <v>0</v>
      </c>
      <c r="E89" s="4" t="str">
        <f>HYPERLINK("https://www.digikey.tw/product-detail/zh/murata-electronics/GCM1555C1H100JA16D/490-10668-1-ND/5251437", "GCM1555C1H100JA16D")</f>
        <v>GCM1555C1H100JA16D</v>
      </c>
      <c r="F89" s="4" t="str">
        <f>HYPERLINK("https://search.murata.co.jp/Ceramy/image/img/A01X/G101/ENG/GCM1555C1H4R0CA16-01.pdf","pdf")</f>
        <v>pdf</v>
      </c>
      <c r="H89" s="10" t="s">
        <v>380</v>
      </c>
      <c r="J89" s="13">
        <v>2</v>
      </c>
      <c r="O89" t="s">
        <v>239</v>
      </c>
    </row>
    <row r="90" spans="1:15" x14ac:dyDescent="0.25">
      <c r="A90" t="s">
        <v>240</v>
      </c>
      <c r="B90" s="2" t="str">
        <f>IF(ISNA(_xlfn.XMATCH(A90,PURCHASE!$A:$A)),"先入料",_xlfn.XLOOKUP(A90,PURCHASE!A:A,PURCHASE!B:B))</f>
        <v>R</v>
      </c>
      <c r="C90" s="2" cm="1">
        <f t="array" ref="C90">IF(ISNA(_xlfn.XMATCH(A90,PURCHASE!$A:$A)),"先入料",SUMPRODUCT((PURCHASE!$A$2:$A$997=MAIN!A90)*PURCHASE!$C$2:$C$997)-SUMPRODUCT((CONSUME!$A$2:$A$992=MAIN!A90)*CONSUME!$C$2:$C$992))</f>
        <v>0</v>
      </c>
      <c r="D90" s="2">
        <f>IF(ISNA(_xlfn.XMATCH(A90,PURCHASE!$A:$A)),"先入料",_xlfn.XLOOKUP(A90,PURCHASE!A:A,PURCHASE!D:D))</f>
        <v>0</v>
      </c>
      <c r="E90" s="4" t="str">
        <f>HYPERLINK("https://www.digikey.tw/product-detail/zh/yageo/RC0402FR-0768RL/311-68-0LRCT-ND/729599","RC0402FR-0768RL")</f>
        <v>RC0402FR-0768RL</v>
      </c>
      <c r="F90" s="4" t="str">
        <f>HYPERLINK("https://www.yageo.com/upload/media/product/productsearch/datasheet/rchip/PYu-RC_Group_51_RoHS_L_11.pdf","pdf")</f>
        <v>pdf</v>
      </c>
      <c r="H90" s="10" t="s">
        <v>380</v>
      </c>
      <c r="J90" s="13">
        <v>2</v>
      </c>
      <c r="O90" t="s">
        <v>241</v>
      </c>
    </row>
    <row r="91" spans="1:15" x14ac:dyDescent="0.25">
      <c r="A91" t="s">
        <v>242</v>
      </c>
      <c r="B91" s="2" t="str">
        <f>IF(ISNA(_xlfn.XMATCH(A91,PURCHASE!$A:$A)),"先入料",_xlfn.XLOOKUP(A91,PURCHASE!A:A,PURCHASE!B:B))</f>
        <v>C</v>
      </c>
      <c r="C91" s="2" cm="1">
        <f t="array" ref="C91">IF(ISNA(_xlfn.XMATCH(A91,PURCHASE!$A:$A)),"先入料",SUMPRODUCT((PURCHASE!$A$2:$A$997=MAIN!A91)*PURCHASE!$C$2:$C$997)-SUMPRODUCT((CONSUME!$A$2:$A$992=MAIN!A91)*CONSUME!$C$2:$C$992))</f>
        <v>0</v>
      </c>
      <c r="D91" s="2">
        <f>IF(ISNA(_xlfn.XMATCH(A91,PURCHASE!$A:$A)),"先入料",_xlfn.XLOOKUP(A91,PURCHASE!A:A,PURCHASE!D:D))</f>
        <v>0</v>
      </c>
      <c r="E91" s="4" t="str">
        <f>HYPERLINK("https://www.digikey.tw/product-detail/zh/murata-electronics/GCM1555C1H300GA16D/490-GCM1555C1H300GA16DCT-ND/13402325", "GCM1555C1H300GA16D")</f>
        <v>GCM1555C1H300GA16D</v>
      </c>
      <c r="F91" s="4" t="str">
        <f>HYPERLINK("https://search.murata.co.jp/Ceramy/image/img/A01X/G101/ENG/GCM1555C1H4R0CA16-01.pdf","pdf")</f>
        <v>pdf</v>
      </c>
      <c r="H91" s="10" t="s">
        <v>380</v>
      </c>
      <c r="J91" s="13">
        <v>6</v>
      </c>
      <c r="O91" t="s">
        <v>243</v>
      </c>
    </row>
    <row r="92" spans="1:15" x14ac:dyDescent="0.25">
      <c r="A92" t="s">
        <v>244</v>
      </c>
      <c r="B92" s="2" t="str">
        <f>IF(ISNA(_xlfn.XMATCH(A92,PURCHASE!$A:$A)),"先入料",_xlfn.XLOOKUP(A92,PURCHASE!A:A,PURCHASE!B:B))</f>
        <v>R</v>
      </c>
      <c r="C92" s="2" cm="1">
        <f t="array" ref="C92">IF(ISNA(_xlfn.XMATCH(A92,PURCHASE!$A:$A)),"先入料",SUMPRODUCT((PURCHASE!$A$2:$A$997=MAIN!A92)*PURCHASE!$C$2:$C$997)-SUMPRODUCT((CONSUME!$A$2:$A$992=MAIN!A92)*CONSUME!$C$2:$C$992))</f>
        <v>0</v>
      </c>
      <c r="D92" s="2">
        <f>IF(ISNA(_xlfn.XMATCH(A92,PURCHASE!$A:$A)),"先入料",_xlfn.XLOOKUP(A92,PURCHASE!A:A,PURCHASE!D:D))</f>
        <v>0</v>
      </c>
      <c r="E92" s="4" t="str">
        <f>HYPERLINK("https://www.digikey.tw/product-detail/zh/yageo/RC0402FR-0710KP/YAG1249CT-ND/4935364","RC0402FR-0710KP")</f>
        <v>RC0402FR-0710KP</v>
      </c>
      <c r="F92" s="4" t="str">
        <f>HYPERLINK("https://www.yageo.com/upload/media/product/productsearch/datasheet/rchip/PYu-RC_51_RoHS_P_1.pdf","pdf")</f>
        <v>pdf</v>
      </c>
      <c r="H92" s="10" t="s">
        <v>380</v>
      </c>
      <c r="J92" s="13">
        <v>7</v>
      </c>
      <c r="O92" t="s">
        <v>245</v>
      </c>
    </row>
    <row r="93" spans="1:15" x14ac:dyDescent="0.25">
      <c r="A93" t="s">
        <v>246</v>
      </c>
      <c r="B93" s="2" t="str">
        <f>IF(ISNA(_xlfn.XMATCH(A93,PURCHASE!$A:$A)),"先入料",_xlfn.XLOOKUP(A93,PURCHASE!A:A,PURCHASE!B:B))</f>
        <v>R</v>
      </c>
      <c r="C93" s="2" cm="1">
        <f t="array" ref="C93">IF(ISNA(_xlfn.XMATCH(A93,PURCHASE!$A:$A)),"先入料",SUMPRODUCT((PURCHASE!$A$2:$A$997=MAIN!A93)*PURCHASE!$C$2:$C$997)-SUMPRODUCT((CONSUME!$A$2:$A$992=MAIN!A93)*CONSUME!$C$2:$C$992))</f>
        <v>0</v>
      </c>
      <c r="D93" s="2">
        <f>IF(ISNA(_xlfn.XMATCH(A93,PURCHASE!$A:$A)),"先入料",_xlfn.XLOOKUP(A93,PURCHASE!A:A,PURCHASE!D:D))</f>
        <v>0</v>
      </c>
      <c r="E93" s="4" t="str">
        <f>HYPERLINK("https://www.digikey.tw/product-detail/zh/yageo/AC0402FR-0749R9L/YAG3494CT-ND/6006343","AC0402FR-0749R9L")</f>
        <v>AC0402FR-0749R9L</v>
      </c>
      <c r="F93" s="4" t="str">
        <f>HYPERLINK("https://www.yageo.com/upload/media/product/productsearch/datasheet/rchip/PYu-AC_51_RoHS_L_7.pdf","pdf")</f>
        <v>pdf</v>
      </c>
      <c r="H93" s="10" t="s">
        <v>380</v>
      </c>
      <c r="J93" s="13">
        <v>4</v>
      </c>
      <c r="O93" t="s">
        <v>247</v>
      </c>
    </row>
    <row r="94" spans="1:15" x14ac:dyDescent="0.25">
      <c r="A94" t="s">
        <v>252</v>
      </c>
      <c r="B94" s="2" t="str">
        <f>IF(ISNA(_xlfn.XMATCH(A94,PURCHASE!$A:$A)),"先入料",_xlfn.XLOOKUP(A94,PURCHASE!A:A,PURCHASE!B:B))</f>
        <v>R</v>
      </c>
      <c r="C94" s="2" cm="1">
        <f t="array" ref="C94">IF(ISNA(_xlfn.XMATCH(A94,PURCHASE!$A:$A)),"先入料",SUMPRODUCT((PURCHASE!$A$2:$A$997=MAIN!A94)*PURCHASE!$C$2:$C$997)-SUMPRODUCT((CONSUME!$A$2:$A$992=MAIN!A94)*CONSUME!$C$2:$C$992))</f>
        <v>0</v>
      </c>
      <c r="D94" s="2">
        <f>IF(ISNA(_xlfn.XMATCH(A94,PURCHASE!$A:$A)),"先入料",_xlfn.XLOOKUP(A94,PURCHASE!A:A,PURCHASE!D:D))</f>
        <v>0</v>
      </c>
      <c r="E94" s="4" t="str">
        <f>HYPERLINK("https://www.digikey.tw/product-detail/zh/yageo/RC0402FR-07287RL/YAG3089CT-ND/5281954","RC0402FR-07287RL")</f>
        <v>RC0402FR-07287RL</v>
      </c>
      <c r="F94" s="4" t="str">
        <f>HYPERLINK("https://www.yageo.com/upload/media/product/productsearch/datasheet/rchip/PYu-RC_Group_51_RoHS_L_11.pdf","pdf")</f>
        <v>pdf</v>
      </c>
      <c r="H94" s="10" t="s">
        <v>380</v>
      </c>
      <c r="J94" s="13">
        <v>3</v>
      </c>
      <c r="O94" t="s">
        <v>253</v>
      </c>
    </row>
    <row r="95" spans="1:15" x14ac:dyDescent="0.25">
      <c r="A95" t="s">
        <v>254</v>
      </c>
      <c r="B95" s="2" t="str">
        <f>IF(ISNA(_xlfn.XMATCH(A95,PURCHASE!$A:$A)),"先入料",_xlfn.XLOOKUP(A95,PURCHASE!A:A,PURCHASE!B:B))</f>
        <v>R</v>
      </c>
      <c r="C95" s="2" cm="1">
        <f t="array" ref="C95">IF(ISNA(_xlfn.XMATCH(A95,PURCHASE!$A:$A)),"先入料",SUMPRODUCT((PURCHASE!$A$2:$A$997=MAIN!A95)*PURCHASE!$C$2:$C$997)-SUMPRODUCT((CONSUME!$A$2:$A$992=MAIN!A95)*CONSUME!$C$2:$C$992))</f>
        <v>0</v>
      </c>
      <c r="D95" s="2">
        <f>IF(ISNA(_xlfn.XMATCH(A95,PURCHASE!$A:$A)),"先入料",_xlfn.XLOOKUP(A95,PURCHASE!A:A,PURCHASE!D:D))</f>
        <v>0</v>
      </c>
      <c r="E95" s="4" t="str">
        <f>HYPERLINK("https://www.digikey.tw/product-detail/zh/yageo/RC0402FR-07143KL/YAG2979CT-ND/5281844","RC0402FR-07143KL")</f>
        <v>RC0402FR-07143KL</v>
      </c>
      <c r="F95" s="4" t="str">
        <f>HYPERLINK("https://www.yageo.com/upload/media/product/productsearch/datasheet/rchip/PYu-RC_Group_51_RoHS_L_11.pdf","pdf")</f>
        <v>pdf</v>
      </c>
      <c r="H95" s="10" t="s">
        <v>380</v>
      </c>
      <c r="J95" s="13">
        <v>2</v>
      </c>
      <c r="O95" t="s">
        <v>255</v>
      </c>
    </row>
    <row r="96" spans="1:15" x14ac:dyDescent="0.25">
      <c r="A96" t="s">
        <v>256</v>
      </c>
      <c r="B96" s="2" t="str">
        <f>IF(ISNA(_xlfn.XMATCH(A96,PURCHASE!$A:$A)),"先入料",_xlfn.XLOOKUP(A96,PURCHASE!A:A,PURCHASE!B:B))</f>
        <v>R</v>
      </c>
      <c r="C96" s="2" cm="1">
        <f t="array" ref="C96">IF(ISNA(_xlfn.XMATCH(A96,PURCHASE!$A:$A)),"先入料",SUMPRODUCT((PURCHASE!$A$2:$A$997=MAIN!A96)*PURCHASE!$C$2:$C$997)-SUMPRODUCT((CONSUME!$A$2:$A$992=MAIN!A96)*CONSUME!$C$2:$C$992))</f>
        <v>0</v>
      </c>
      <c r="D96" s="2">
        <f>IF(ISNA(_xlfn.XMATCH(A96,PURCHASE!$A:$A)),"先入料",_xlfn.XLOOKUP(A96,PURCHASE!A:A,PURCHASE!D:D))</f>
        <v>0</v>
      </c>
      <c r="E96" s="4" t="str">
        <f>HYPERLINK("https://www.digikey.tw/product-detail/zh/yageo/RC0402FR-07499RL/311-499LRCT-ND/729570","RC0402FR-07499RL")</f>
        <v>RC0402FR-07499RL</v>
      </c>
      <c r="F96" s="4" t="str">
        <f>HYPERLINK("https://www.yageo.com/upload/media/product/productsearch/datasheet/rchip/PYu-RC_Group_51_RoHS_L_11.pdf","pdf")</f>
        <v>pdf</v>
      </c>
      <c r="H96" s="10" t="s">
        <v>466</v>
      </c>
      <c r="J96" s="13">
        <v>4</v>
      </c>
      <c r="K96" s="13">
        <v>1</v>
      </c>
      <c r="O96" t="s">
        <v>257</v>
      </c>
    </row>
    <row r="97" spans="1:15" x14ac:dyDescent="0.25">
      <c r="A97" t="s">
        <v>258</v>
      </c>
      <c r="B97" s="2" t="str">
        <f>IF(ISNA(_xlfn.XMATCH(A97,PURCHASE!$A:$A)),"先入料",_xlfn.XLOOKUP(A97,PURCHASE!A:A,PURCHASE!B:B))</f>
        <v>R</v>
      </c>
      <c r="C97" s="2" cm="1">
        <f t="array" ref="C97">IF(ISNA(_xlfn.XMATCH(A97,PURCHASE!$A:$A)),"先入料",SUMPRODUCT((PURCHASE!$A$2:$A$997=MAIN!A97)*PURCHASE!$C$2:$C$997)-SUMPRODUCT((CONSUME!$A$2:$A$992=MAIN!A97)*CONSUME!$C$2:$C$992))</f>
        <v>70</v>
      </c>
      <c r="D97" s="2" t="str">
        <f>IF(ISNA(_xlfn.XMATCH(A97,PURCHASE!$A:$A)),"先入料",_xlfn.XLOOKUP(A97,PURCHASE!A:A,PURCHASE!D:D))</f>
        <v>B7-2</v>
      </c>
      <c r="E97" s="4" t="str">
        <f>HYPERLINK("https://www.digikey.tw/product-detail/zh/yageo/RC0402FR-07357RL/YAG3130CT-ND/5281995","RC0402FR-07357RL")</f>
        <v>RC0402FR-07357RL</v>
      </c>
      <c r="F97" s="4" t="str">
        <f>HYPERLINK("https://www.yageo.com/upload/media/product/productsearch/datasheet/rchip/PYu-RC_Group_51_RoHS_L_11.pdf","pdf")</f>
        <v>pdf</v>
      </c>
      <c r="H97" s="10" t="s">
        <v>380</v>
      </c>
      <c r="J97" s="13">
        <v>4</v>
      </c>
      <c r="O97" t="s">
        <v>259</v>
      </c>
    </row>
    <row r="98" spans="1:15" x14ac:dyDescent="0.25">
      <c r="A98" t="s">
        <v>260</v>
      </c>
      <c r="B98" s="2" t="str">
        <f>IF(ISNA(_xlfn.XMATCH(A98,PURCHASE!$A:$A)),"先入料",_xlfn.XLOOKUP(A98,PURCHASE!A:A,PURCHASE!B:B))</f>
        <v>R</v>
      </c>
      <c r="C98" s="2" cm="1">
        <f t="array" ref="C98">IF(ISNA(_xlfn.XMATCH(A98,PURCHASE!$A:$A)),"先入料",SUMPRODUCT((PURCHASE!$A$2:$A$997=MAIN!A98)*PURCHASE!$C$2:$C$997)-SUMPRODUCT((CONSUME!$A$2:$A$992=MAIN!A98)*CONSUME!$C$2:$C$992))</f>
        <v>0</v>
      </c>
      <c r="D98" s="2">
        <f>IF(ISNA(_xlfn.XMATCH(A98,PURCHASE!$A:$A)),"先入料",_xlfn.XLOOKUP(A98,PURCHASE!A:A,PURCHASE!D:D))</f>
        <v>0</v>
      </c>
      <c r="E98" s="4" t="str">
        <f>HYPERLINK("https://www.digikey.tw/product-detail/zh/yageo/AC0402FR-07220RL/YAG3456CT-ND/6006305","AC0402FR-07220RL")</f>
        <v>AC0402FR-07220RL</v>
      </c>
      <c r="F98" s="4" t="str">
        <f>HYPERLINK("https://www.yageo.com/upload/media/product/productsearch/datasheet/rchip/PYu-AC_51_RoHS_L_7.pdf","pdf")</f>
        <v>pdf</v>
      </c>
      <c r="H98" s="10" t="s">
        <v>380</v>
      </c>
      <c r="J98" s="13">
        <v>4</v>
      </c>
      <c r="O98" t="s">
        <v>261</v>
      </c>
    </row>
    <row r="99" spans="1:15" x14ac:dyDescent="0.25">
      <c r="A99" t="s">
        <v>262</v>
      </c>
      <c r="B99" s="2" t="str">
        <f>IF(ISNA(_xlfn.XMATCH(A99,PURCHASE!$A:$A)),"先入料",_xlfn.XLOOKUP(A99,PURCHASE!A:A,PURCHASE!B:B))</f>
        <v>R</v>
      </c>
      <c r="C99" s="2" cm="1">
        <f t="array" ref="C99">IF(ISNA(_xlfn.XMATCH(A99,PURCHASE!$A:$A)),"先入料",SUMPRODUCT((PURCHASE!$A$2:$A$997=MAIN!A99)*PURCHASE!$C$2:$C$997)-SUMPRODUCT((CONSUME!$A$2:$A$992=MAIN!A99)*CONSUME!$C$2:$C$992))</f>
        <v>70</v>
      </c>
      <c r="D99" s="2" t="str">
        <f>IF(ISNA(_xlfn.XMATCH(A99,PURCHASE!$A:$A)),"先入料",_xlfn.XLOOKUP(A99,PURCHASE!A:A,PURCHASE!D:D))</f>
        <v>B8-1</v>
      </c>
      <c r="E99" s="4" t="str">
        <f>HYPERLINK("https://www.digikey.tw/product-detail/zh/yageo/RC0402FR-07715RL/311-715LRCT-ND/729604","RC0402FR-07715RL")</f>
        <v>RC0402FR-07715RL</v>
      </c>
      <c r="F99" s="4" t="str">
        <f>HYPERLINK("https://www.yageo.com/upload/media/product/productsearch/datasheet/rchip/PYu-RC_Group_51_RoHS_L_11.pdf","pdf")</f>
        <v>pdf</v>
      </c>
      <c r="H99" s="10" t="s">
        <v>380</v>
      </c>
      <c r="J99" s="13">
        <v>4</v>
      </c>
      <c r="O99" t="s">
        <v>263</v>
      </c>
    </row>
    <row r="100" spans="1:15" x14ac:dyDescent="0.25">
      <c r="A100" t="s">
        <v>264</v>
      </c>
      <c r="B100" s="2" t="str">
        <f>IF(ISNA(_xlfn.XMATCH(A100,PURCHASE!$A:$A)),"先入料",_xlfn.XLOOKUP(A100,PURCHASE!A:A,PURCHASE!B:B))</f>
        <v>SW</v>
      </c>
      <c r="C100" s="2" cm="1">
        <f t="array" ref="C100">IF(ISNA(_xlfn.XMATCH(A100,PURCHASE!$A:$A)),"先入料",SUMPRODUCT((PURCHASE!$A$2:$A$997=MAIN!A100)*PURCHASE!$C$2:$C$997)-SUMPRODUCT((CONSUME!$A$2:$A$992=MAIN!A100)*CONSUME!$C$2:$C$992))</f>
        <v>0</v>
      </c>
      <c r="D100" s="2">
        <f>IF(ISNA(_xlfn.XMATCH(A100,PURCHASE!$A:$A)),"先入料",_xlfn.XLOOKUP(A100,PURCHASE!A:A,PURCHASE!D:D))</f>
        <v>0</v>
      </c>
      <c r="E100" s="4" t="str">
        <f>HYPERLINK("https://www.digikey.tw/product-detail/zh/c-k/JS102011JCQN/CKN10721CT-ND/6137635","JS102011JCQN")</f>
        <v>JS102011JCQN</v>
      </c>
      <c r="F100" s="4" t="str">
        <f>HYPERLINK("https://polarisphotonics-my.sharepoint.com/personal/bw_shiau_polarisphotonics_com/Documents/papers/IC/SW/js.pdf","pdf")</f>
        <v>pdf</v>
      </c>
      <c r="H100" s="10" t="s">
        <v>380</v>
      </c>
      <c r="O100" t="s">
        <v>266</v>
      </c>
    </row>
    <row r="101" spans="1:15" x14ac:dyDescent="0.25">
      <c r="A101" t="s">
        <v>268</v>
      </c>
      <c r="B101" s="2" t="str">
        <f>IF(ISNA(_xlfn.XMATCH(A101,PURCHASE!$A:$A)),"先入料",_xlfn.XLOOKUP(A101,PURCHASE!A:A,PURCHASE!B:B))</f>
        <v>C</v>
      </c>
      <c r="C101" s="2" cm="1">
        <f t="array" ref="C101">IF(ISNA(_xlfn.XMATCH(A101,PURCHASE!$A:$A)),"先入料",SUMPRODUCT((PURCHASE!$A$2:$A$997=MAIN!A101)*PURCHASE!$C$2:$C$997)-SUMPRODUCT((CONSUME!$A$2:$A$992=MAIN!A101)*CONSUME!$C$2:$C$992))</f>
        <v>13</v>
      </c>
      <c r="D101" s="2" t="str">
        <f>IF(ISNA(_xlfn.XMATCH(A101,PURCHASE!$A:$A)),"先入料",_xlfn.XLOOKUP(A101,PURCHASE!A:A,PURCHASE!D:D))</f>
        <v>C6-1</v>
      </c>
      <c r="E101" s="4" t="str">
        <f>HYPERLINK("https://www.digikey.tw/product-detail/zh/tdk-corporation/C3216JB0J107M160AB/445-11676-1-ND/3953342", "C3216JB0J107M160AB")</f>
        <v>C3216JB0J107M160AB</v>
      </c>
      <c r="F101" s="4" t="str">
        <f>HYPERLINK("https://product.tdk.com/info/en/catalog/datasheets/mlcc_commercial_general_en.pdf?ref_disty=digikey","pdf")</f>
        <v>pdf</v>
      </c>
      <c r="H101" s="10" t="s">
        <v>380</v>
      </c>
      <c r="J101" s="13">
        <v>1</v>
      </c>
      <c r="O101" t="s">
        <v>269</v>
      </c>
    </row>
    <row r="102" spans="1:15" x14ac:dyDescent="0.25">
      <c r="A102" t="s">
        <v>270</v>
      </c>
      <c r="B102" s="2" t="str">
        <f>IF(ISNA(_xlfn.XMATCH(A102,PURCHASE!$A:$A)),"先入料",_xlfn.XLOOKUP(A102,PURCHASE!A:A,PURCHASE!B:B))</f>
        <v>C</v>
      </c>
      <c r="C102" s="2" cm="1">
        <f t="array" ref="C102">IF(ISNA(_xlfn.XMATCH(A102,PURCHASE!$A:$A)),"先入料",SUMPRODUCT((PURCHASE!$A$2:$A$997=MAIN!A102)*PURCHASE!$C$2:$C$997)-SUMPRODUCT((CONSUME!$A$2:$A$992=MAIN!A102)*CONSUME!$C$2:$C$992))</f>
        <v>16</v>
      </c>
      <c r="D102" s="2" t="str">
        <f>IF(ISNA(_xlfn.XMATCH(A102,PURCHASE!$A:$A)),"先入料",_xlfn.XLOOKUP(A102,PURCHASE!A:A,PURCHASE!D:D))</f>
        <v>C4</v>
      </c>
      <c r="E102" s="4" t="str">
        <f>HYPERLINK("https://www.digikey.tw/product-detail/zh/murata-electronics/GRM31CR60J227ME11L/490-13970-1-ND/6155800", "GRM31CR60J227ME11L")</f>
        <v>GRM31CR60J227ME11L</v>
      </c>
      <c r="F102" s="4" t="str">
        <f>HYPERLINK("https://search.murata.co.jp/Ceramy/image/img/A01X/G101/ENG/GRM31CR60J227ME11-01.pdf","pdf")</f>
        <v>pdf</v>
      </c>
      <c r="H102" s="10" t="s">
        <v>380</v>
      </c>
      <c r="J102" s="13">
        <v>2</v>
      </c>
      <c r="O102" t="s">
        <v>271</v>
      </c>
    </row>
    <row r="103" spans="1:15" x14ac:dyDescent="0.25">
      <c r="A103" t="s">
        <v>342</v>
      </c>
      <c r="B103" s="2" t="str">
        <f>IF(ISNA(_xlfn.XMATCH(A103,PURCHASE!$A:$A)),"先入料",_xlfn.XLOOKUP(A103,PURCHASE!A:A,PURCHASE!B:B))</f>
        <v>C</v>
      </c>
      <c r="C103" s="2" cm="1">
        <f t="array" ref="C103">IF(ISNA(_xlfn.XMATCH(A103,PURCHASE!$A:$A)),"先入料",SUMPRODUCT((PURCHASE!$A$2:$A$997=MAIN!A103)*PURCHASE!$C$2:$C$997)-SUMPRODUCT((CONSUME!$A$2:$A$992=MAIN!A103)*CONSUME!$C$2:$C$992))</f>
        <v>0</v>
      </c>
      <c r="D103" s="2">
        <f>IF(ISNA(_xlfn.XMATCH(A103,PURCHASE!$A:$A)),"先入料",_xlfn.XLOOKUP(A103,PURCHASE!A:A,PURCHASE!D:D))</f>
        <v>0</v>
      </c>
      <c r="E103" s="4" t="str">
        <f>HYPERLINK("https://www.digikey.tw/product-detail/zh/murata-electronics/GRT155R61E105ME01D/490-12264-1-ND/5416965", "GRT155R61E105ME01D")</f>
        <v>GRT155R61E105ME01D</v>
      </c>
      <c r="F103" s="4" t="str">
        <f>HYPERLINK("https://search.murata.co.jp/Ceramy/image/img/A01X/G101/ENG/GRT155R61E105ME01-01.pdf","pdf")</f>
        <v>pdf</v>
      </c>
      <c r="H103" s="10" t="s">
        <v>381</v>
      </c>
      <c r="J103" s="13">
        <v>1</v>
      </c>
      <c r="O103" t="s">
        <v>343</v>
      </c>
    </row>
    <row r="104" spans="1:15" x14ac:dyDescent="0.25">
      <c r="A104" t="s">
        <v>275</v>
      </c>
      <c r="B104" s="2" t="str">
        <f>IF(ISNA(_xlfn.XMATCH(A104,PURCHASE!$A:$A)),"先入料",_xlfn.XLOOKUP(A104,PURCHASE!A:A,PURCHASE!B:B))</f>
        <v>LDO</v>
      </c>
      <c r="C104" s="2" cm="1">
        <f t="array" ref="C104">IF(ISNA(_xlfn.XMATCH(A104,PURCHASE!$A:$A)),"先入料",SUMPRODUCT((PURCHASE!$A$2:$A$997=MAIN!A104)*PURCHASE!$C$2:$C$997)-SUMPRODUCT((CONSUME!$A$2:$A$992=MAIN!A104)*CONSUME!$C$2:$C$992))</f>
        <v>3</v>
      </c>
      <c r="D104" s="2" t="str">
        <f>IF(ISNA(_xlfn.XMATCH(A104,PURCHASE!$A:$A)),"先入料",_xlfn.XLOOKUP(A104,PURCHASE!A:A,PURCHASE!D:D))</f>
        <v>D2-2</v>
      </c>
      <c r="E104" s="4" t="str">
        <f>HYPERLINK("https://www.digikey.tw/product-detail/zh/analog-devices-inc/LT3065HMSE-PBF/LT3065HMSE-PBF-ND/4693747", "LT3065HMSE#PBF")</f>
        <v>LT3065HMSE#PBF</v>
      </c>
      <c r="F104" s="4" t="str">
        <f>HYPERLINK("https://polarisphotonics-my.sharepoint.com/personal/bw_shiau_polarisphotonics_com/Documents/papers/IC/LDO/LT3065.pdf","pdf")</f>
        <v>pdf</v>
      </c>
      <c r="H104" s="10" t="s">
        <v>502</v>
      </c>
      <c r="K104" s="13">
        <v>1</v>
      </c>
      <c r="L104" s="13">
        <v>2</v>
      </c>
      <c r="O104" t="s">
        <v>467</v>
      </c>
    </row>
    <row r="105" spans="1:15" x14ac:dyDescent="0.25">
      <c r="A105" t="s">
        <v>273</v>
      </c>
      <c r="B105" s="2" t="str">
        <f>IF(ISNA(_xlfn.XMATCH(A105,PURCHASE!$A:$A)),"先入料",_xlfn.XLOOKUP(A105,PURCHASE!A:A,PURCHASE!B:B))</f>
        <v>PCB</v>
      </c>
      <c r="C105" s="2" cm="1">
        <f t="array" ref="C105">IF(ISNA(_xlfn.XMATCH(A105,PURCHASE!$A:$A)),"先入料",SUMPRODUCT((PURCHASE!$A$2:$A$997=MAIN!A105)*PURCHASE!$C$2:$C$997)-SUMPRODUCT((CONSUME!$A$2:$A$992=MAIN!A105)*CONSUME!$C$2:$C$992))</f>
        <v>7</v>
      </c>
      <c r="D105" s="2">
        <f>IF(ISNA(_xlfn.XMATCH(A105,PURCHASE!$A:$A)),"先入料",_xlfn.XLOOKUP(A105,PURCHASE!A:A,PURCHASE!D:D))</f>
        <v>0</v>
      </c>
      <c r="O105" t="s">
        <v>274</v>
      </c>
    </row>
    <row r="106" spans="1:15" x14ac:dyDescent="0.25">
      <c r="A106" t="s">
        <v>276</v>
      </c>
      <c r="B106" s="2" t="str">
        <f>IF(ISNA(_xlfn.XMATCH(A106,PURCHASE!$A:$A)),"先入料",_xlfn.XLOOKUP(A106,PURCHASE!A:A,PURCHASE!B:B))</f>
        <v>D</v>
      </c>
      <c r="C106" s="2" cm="1">
        <f t="array" ref="C106">IF(ISNA(_xlfn.XMATCH(A106,PURCHASE!$A:$A)),"先入料",SUMPRODUCT((PURCHASE!$A$2:$A$997=MAIN!A106)*PURCHASE!$C$2:$C$997)-SUMPRODUCT((CONSUME!$A$2:$A$992=MAIN!A106)*CONSUME!$C$2:$C$992))</f>
        <v>0</v>
      </c>
      <c r="D106" s="2">
        <f>IF(ISNA(_xlfn.XMATCH(A106,PURCHASE!$A:$A)),"先入料",_xlfn.XLOOKUP(A106,PURCHASE!A:A,PURCHASE!D:D))</f>
        <v>0</v>
      </c>
      <c r="E106" s="4" t="str">
        <f>HYPERLINK("https://www.digikey.tw/product-detail/zh/micro-commercial-co/SMAJ20CA-TP/SMAJ20CA-TPMSCT-ND/1200583", "SMAJ20CA-TP")</f>
        <v>SMAJ20CA-TP</v>
      </c>
      <c r="F106" s="4" t="str">
        <f>HYPERLINK("https://www.mccsemi.com/pdf/Products/SMAJ5.0-SMAJ440CA(SMA).pdf","pdf")</f>
        <v>pdf</v>
      </c>
      <c r="H106" s="10" t="s">
        <v>503</v>
      </c>
      <c r="L106" s="13">
        <v>2</v>
      </c>
      <c r="O106" t="s">
        <v>277</v>
      </c>
    </row>
    <row r="107" spans="1:15" x14ac:dyDescent="0.25">
      <c r="A107" t="s">
        <v>278</v>
      </c>
      <c r="B107" s="2" t="str">
        <f>IF(ISNA(_xlfn.XMATCH(A107,PURCHASE!$A:$A)),"先入料",_xlfn.XLOOKUP(A107,PURCHASE!A:A,PURCHASE!B:B))</f>
        <v>C</v>
      </c>
      <c r="C107" s="2" cm="1">
        <f t="array" ref="C107">IF(ISNA(_xlfn.XMATCH(A107,PURCHASE!$A:$A)),"先入料",SUMPRODUCT((PURCHASE!$A$2:$A$997=MAIN!A107)*PURCHASE!$C$2:$C$997)-SUMPRODUCT((CONSUME!$A$2:$A$992=MAIN!A107)*CONSUME!$C$2:$C$992))</f>
        <v>34</v>
      </c>
      <c r="D107" s="2" t="str">
        <f>IF(ISNA(_xlfn.XMATCH(A107,PURCHASE!$A:$A)),"先入料",_xlfn.XLOOKUP(A107,PURCHASE!A:A,PURCHASE!D:D))</f>
        <v>C2-1</v>
      </c>
      <c r="E107" s="4" t="str">
        <f>HYPERLINK("https://www.digikey.tw/products/zh?keywords=490-10748-1-nd", "GRM21BR61E106MA73L")</f>
        <v>GRM21BR61E106MA73L</v>
      </c>
      <c r="F107" s="4" t="str">
        <f>HYPERLINK("https://search.murata.co.jp/Ceramy/image/img/A01X/G101/ENG/GRM21BR61E106MA73-01.pdf","pdf")</f>
        <v>pdf</v>
      </c>
      <c r="H107" s="10" t="s">
        <v>667</v>
      </c>
      <c r="J107" s="13">
        <v>5</v>
      </c>
      <c r="K107" s="13">
        <v>7</v>
      </c>
      <c r="N107" s="13">
        <v>7</v>
      </c>
      <c r="O107" t="s">
        <v>279</v>
      </c>
    </row>
    <row r="108" spans="1:15" x14ac:dyDescent="0.25">
      <c r="A108" t="s">
        <v>280</v>
      </c>
      <c r="B108" s="2" t="str">
        <f>IF(ISNA(_xlfn.XMATCH(A108,PURCHASE!$A:$A)),"先入料",_xlfn.XLOOKUP(A108,PURCHASE!A:A,PURCHASE!B:B))</f>
        <v>SENSOR</v>
      </c>
      <c r="C108" s="2" cm="1">
        <f t="array" ref="C108">IF(ISNA(_xlfn.XMATCH(A108,PURCHASE!$A:$A)),"先入料",SUMPRODUCT((PURCHASE!$A$2:$A$997=MAIN!A108)*PURCHASE!$C$2:$C$997)-SUMPRODUCT((CONSUME!$A$2:$A$992=MAIN!A108)*CONSUME!$C$2:$C$992))</f>
        <v>0</v>
      </c>
      <c r="D108" s="2" t="str">
        <f>IF(ISNA(_xlfn.XMATCH(A108,PURCHASE!$A:$A)),"先入料",_xlfn.XLOOKUP(A108,PURCHASE!A:A,PURCHASE!D:D))</f>
        <v>B5-2</v>
      </c>
      <c r="E108" s="4" t="str">
        <f>HYPERLINK("https://www.digikey.tw/products/zh?keywords=296-42088-1-nd", "LMT70YFQT")</f>
        <v>LMT70YFQT</v>
      </c>
      <c r="F108" s="4" t="str">
        <f>HYPERLINK("https://polarisphotonics-my.sharepoint.com/personal/bw_shiau_polarisphotonics_com/Documents/papers/IC/Sensor/lmt70.pdf","pdf")</f>
        <v>pdf</v>
      </c>
      <c r="I108" s="13">
        <v>0</v>
      </c>
      <c r="O108" t="s">
        <v>281</v>
      </c>
    </row>
    <row r="109" spans="1:15" x14ac:dyDescent="0.25">
      <c r="A109" t="s">
        <v>69</v>
      </c>
      <c r="B109" s="2" t="str">
        <f>IF(ISNA(_xlfn.XMATCH(A109,PURCHASE!$A:$A)),"先入料",_xlfn.XLOOKUP(A109,PURCHASE!A:A,PURCHASE!B:B))</f>
        <v>C</v>
      </c>
      <c r="C109" s="2" cm="1">
        <f t="array" ref="C109">IF(ISNA(_xlfn.XMATCH(A109,PURCHASE!$A:$A)),"先入料",SUMPRODUCT((PURCHASE!$A$2:$A$997=MAIN!A109)*PURCHASE!$C$2:$C$997)-SUMPRODUCT((CONSUME!$A$2:$A$992=MAIN!A109)*CONSUME!$C$2:$C$992))</f>
        <v>3</v>
      </c>
      <c r="D109" s="2" t="str">
        <f>IF(ISNA(_xlfn.XMATCH(A109,PURCHASE!$A:$A)),"先入料",_xlfn.XLOOKUP(A109,PURCHASE!A:A,PURCHASE!D:D))</f>
        <v>C1-2</v>
      </c>
      <c r="E109" s="4" t="str">
        <f>HYPERLINK("https://www.digikey.tw/products/zh?keywords=478-9826-1-nd","TCN4477M016R0100")</f>
        <v>TCN4477M016R0100</v>
      </c>
      <c r="F109" s="4" t="str">
        <f>HYPERLINK("https://datasheets.avx.com/TCN_Undertab.pdf","pdf")</f>
        <v>pdf</v>
      </c>
      <c r="H109" s="10" t="s">
        <v>29</v>
      </c>
      <c r="I109" s="13">
        <v>2</v>
      </c>
      <c r="O109" t="s">
        <v>282</v>
      </c>
    </row>
    <row r="110" spans="1:15" x14ac:dyDescent="0.25">
      <c r="A110" t="s">
        <v>283</v>
      </c>
      <c r="B110" s="2" t="str">
        <f>IF(ISNA(_xlfn.XMATCH(A110,PURCHASE!$A:$A)),"先入料",_xlfn.XLOOKUP(A110,PURCHASE!A:A,PURCHASE!B:B))</f>
        <v>PCB</v>
      </c>
      <c r="C110" s="2" cm="1">
        <f t="array" ref="C110">IF(ISNA(_xlfn.XMATCH(A110,PURCHASE!$A:$A)),"先入料",SUMPRODUCT((PURCHASE!$A$2:$A$997=MAIN!A110)*PURCHASE!$C$2:$C$997)-SUMPRODUCT((CONSUME!$A$2:$A$992=MAIN!A110)*CONSUME!$C$2:$C$992))</f>
        <v>0</v>
      </c>
      <c r="D110" s="2">
        <f>IF(ISNA(_xlfn.XMATCH(A110,PURCHASE!$A:$A)),"先入料",_xlfn.XLOOKUP(A110,PURCHASE!A:A,PURCHASE!D:D))</f>
        <v>0</v>
      </c>
      <c r="H110" s="10" t="s">
        <v>380</v>
      </c>
      <c r="I110" s="13">
        <v>1</v>
      </c>
      <c r="O110" t="s">
        <v>382</v>
      </c>
    </row>
    <row r="111" spans="1:15" x14ac:dyDescent="0.25">
      <c r="A111" t="s">
        <v>286</v>
      </c>
      <c r="B111" s="2" t="str">
        <f>IF(ISNA(_xlfn.XMATCH(A111,PURCHASE!$A:$A)),"先入料",_xlfn.XLOOKUP(A111,PURCHASE!A:A,PURCHASE!B:B))</f>
        <v>D</v>
      </c>
      <c r="C111" s="2" cm="1">
        <f t="array" ref="C111">IF(ISNA(_xlfn.XMATCH(A111,PURCHASE!$A:$A)),"先入料",SUMPRODUCT((PURCHASE!$A$2:$A$997=MAIN!A111)*PURCHASE!$C$2:$C$997)-SUMPRODUCT((CONSUME!$A$2:$A$992=MAIN!A111)*CONSUME!$C$2:$C$992))</f>
        <v>80</v>
      </c>
      <c r="D111" s="2" t="str">
        <f>IF(ISNA(_xlfn.XMATCH(A111,PURCHASE!$A:$A)),"先入料",_xlfn.XLOOKUP(A111,PURCHASE!A:A,PURCHASE!D:D))</f>
        <v>D9-1</v>
      </c>
      <c r="E111" s="4" t="str">
        <f>HYPERLINK("https://www.digikey.tw/product-detail/zh/onsemi/MMSZ5245ET1G/MMSZ5245ET1GOSCT-ND/3487581", "MMSZ5245ET1G")</f>
        <v>MMSZ5245ET1G</v>
      </c>
      <c r="F111" s="4" t="str">
        <f>HYPERLINK("https://www.onsemi.com/pdf/datasheet/mmsz5221et1-d.pdf","pdf")</f>
        <v>pdf</v>
      </c>
      <c r="H111" s="10" t="s">
        <v>502</v>
      </c>
      <c r="K111" s="13">
        <v>2</v>
      </c>
      <c r="L111" s="13">
        <v>2</v>
      </c>
      <c r="O111" t="s">
        <v>287</v>
      </c>
    </row>
    <row r="112" spans="1:15" x14ac:dyDescent="0.25">
      <c r="A112" t="s">
        <v>288</v>
      </c>
      <c r="B112" s="2" t="str">
        <f>IF(ISNA(_xlfn.XMATCH(A112,PURCHASE!$A:$A)),"先入料",_xlfn.XLOOKUP(A112,PURCHASE!A:A,PURCHASE!B:B))</f>
        <v>R</v>
      </c>
      <c r="C112" s="2" cm="1">
        <f t="array" ref="C112">IF(ISNA(_xlfn.XMATCH(A112,PURCHASE!$A:$A)),"先入料",SUMPRODUCT((PURCHASE!$A$2:$A$997=MAIN!A112)*PURCHASE!$C$2:$C$997)-SUMPRODUCT((CONSUME!$A$2:$A$992=MAIN!A112)*CONSUME!$C$2:$C$992))</f>
        <v>0</v>
      </c>
      <c r="D112" s="2">
        <f>IF(ISNA(_xlfn.XMATCH(A112,PURCHASE!$A:$A)),"先入料",_xlfn.XLOOKUP(A112,PURCHASE!A:A,PURCHASE!D:D))</f>
        <v>0</v>
      </c>
      <c r="E112" s="4" t="str">
        <f>HYPERLINK("https://www.digikey.tw/product-detail/zh/yageo/RC0603FR-0747KL/311-47-0KHRCT-ND/730200","RC0603FR-0747KL")</f>
        <v>RC0603FR-0747KL</v>
      </c>
      <c r="F112" s="4" t="str">
        <f>HYPERLINK("https://www.yageo.com/upload/media/product/productsearch/datasheet/rchip/PYu-RC_Group_51_RoHS_L_11.pdf","pdf")</f>
        <v>pdf</v>
      </c>
      <c r="H112" s="10" t="s">
        <v>380</v>
      </c>
      <c r="O112" t="s">
        <v>289</v>
      </c>
    </row>
    <row r="113" spans="1:15" x14ac:dyDescent="0.25">
      <c r="A113" t="s">
        <v>290</v>
      </c>
      <c r="B113" s="2" t="str">
        <f>IF(ISNA(_xlfn.XMATCH(A113,PURCHASE!$A:$A)),"先入料",_xlfn.XLOOKUP(A113,PURCHASE!A:A,PURCHASE!B:B))</f>
        <v>MOS</v>
      </c>
      <c r="C113" s="2" cm="1">
        <f t="array" ref="C113">IF(ISNA(_xlfn.XMATCH(A113,PURCHASE!$A:$A)),"先入料",SUMPRODUCT((PURCHASE!$A$2:$A$997=MAIN!A113)*PURCHASE!$C$2:$C$997)-SUMPRODUCT((CONSUME!$A$2:$A$992=MAIN!A113)*CONSUME!$C$2:$C$992))</f>
        <v>0</v>
      </c>
      <c r="D113" s="2">
        <f>IF(ISNA(_xlfn.XMATCH(A113,PURCHASE!$A:$A)),"先入料",_xlfn.XLOOKUP(A113,PURCHASE!A:A,PURCHASE!D:D))</f>
        <v>0</v>
      </c>
      <c r="E113" s="4" t="str">
        <f>HYPERLINK("https://www.digikey.tw/product-detail/zh/vishay-siliconix/SI4559ADY-T1-GE3/SI4559ADY-T1-GE3CT-ND/1995615", "SI4559ADY-T1-GE3")</f>
        <v>SI4559ADY-T1-GE3</v>
      </c>
      <c r="F113" s="4" t="str">
        <f>HYPERLINK("https://polarisphotonics-my.sharepoint.com/personal/bw_shiau_polarisphotonics_com/Documents/papers/IC/MOS/si4559ad.pdf","pdf")</f>
        <v>pdf</v>
      </c>
      <c r="H113" s="10" t="s">
        <v>500</v>
      </c>
      <c r="I113" s="13">
        <v>0</v>
      </c>
      <c r="L113" s="13">
        <v>1</v>
      </c>
      <c r="O113" t="s">
        <v>291</v>
      </c>
    </row>
    <row r="114" spans="1:15" x14ac:dyDescent="0.25">
      <c r="A114" t="s">
        <v>292</v>
      </c>
      <c r="B114" s="2" t="str">
        <f>IF(ISNA(_xlfn.XMATCH(A114,PURCHASE!$A:$A)),"先入料",_xlfn.XLOOKUP(A114,PURCHASE!A:A,PURCHASE!B:B))</f>
        <v>R</v>
      </c>
      <c r="C114" s="2" cm="1">
        <f t="array" ref="C114">IF(ISNA(_xlfn.XMATCH(A114,PURCHASE!$A:$A)),"先入料",SUMPRODUCT((PURCHASE!$A$2:$A$997=MAIN!A114)*PURCHASE!$C$2:$C$997)-SUMPRODUCT((CONSUME!$A$2:$A$992=MAIN!A114)*CONSUME!$C$2:$C$992))</f>
        <v>0</v>
      </c>
      <c r="D114" s="2">
        <f>IF(ISNA(_xlfn.XMATCH(A114,PURCHASE!$A:$A)),"先入料",_xlfn.XLOOKUP(A114,PURCHASE!A:A,PURCHASE!D:D))</f>
        <v>0</v>
      </c>
      <c r="E114" s="4" t="str">
        <f>HYPERLINK("https://www.digikey.tw/product-detail/zh/yageo/RC0402FR-07432KL/YAG3159CT-ND/5282024","RC0402FR-07432KL")</f>
        <v>RC0402FR-07432KL</v>
      </c>
      <c r="F114" s="4" t="str">
        <f>HYPERLINK("https://www.yageo.com/upload/media/product/productsearch/datasheet/rchip/PYu-RC_Group_51_RoHS_L_11.pdf","pdf")</f>
        <v>pdf</v>
      </c>
      <c r="H114" s="10" t="s">
        <v>466</v>
      </c>
      <c r="I114" s="13">
        <v>1</v>
      </c>
      <c r="K114" s="13">
        <v>1</v>
      </c>
      <c r="O114" t="s">
        <v>294</v>
      </c>
    </row>
    <row r="115" spans="1:15" x14ac:dyDescent="0.25">
      <c r="A115" t="s">
        <v>293</v>
      </c>
      <c r="B115" s="2" t="str">
        <f>IF(ISNA(_xlfn.XMATCH(A115,PURCHASE!$A:$A)),"先入料",_xlfn.XLOOKUP(A115,PURCHASE!A:A,PURCHASE!B:B))</f>
        <v>R</v>
      </c>
      <c r="C115" s="2" cm="1">
        <f t="array" ref="C115">IF(ISNA(_xlfn.XMATCH(A115,PURCHASE!$A:$A)),"先入料",SUMPRODUCT((PURCHASE!$A$2:$A$997=MAIN!A115)*PURCHASE!$C$2:$C$997)-SUMPRODUCT((CONSUME!$A$2:$A$992=MAIN!A115)*CONSUME!$C$2:$C$992))</f>
        <v>0</v>
      </c>
      <c r="D115" s="2">
        <f>IF(ISNA(_xlfn.XMATCH(A115,PURCHASE!$A:$A)),"先入料",_xlfn.XLOOKUP(A115,PURCHASE!A:A,PURCHASE!D:D))</f>
        <v>0</v>
      </c>
      <c r="E115" s="4" t="str">
        <f>HYPERLINK("https://www.digikey.tw/product-detail/zh/yageo/RC0402FR-0759KL/311-59KLRCT-ND/2827951","RC0402FR-0759KL")</f>
        <v>RC0402FR-0759KL</v>
      </c>
      <c r="F115" s="4" t="str">
        <f>HYPERLINK("https://www.yageo.com/upload/media/product/productsearch/datasheet/rchip/PYu-RC_Group_51_RoHS_L_11.pdf","pdf")</f>
        <v>pdf</v>
      </c>
      <c r="H115" s="10" t="s">
        <v>462</v>
      </c>
      <c r="K115" s="13">
        <v>1</v>
      </c>
      <c r="O115" t="s">
        <v>295</v>
      </c>
    </row>
    <row r="116" spans="1:15" x14ac:dyDescent="0.25">
      <c r="A116" t="s">
        <v>296</v>
      </c>
      <c r="B116" s="2" t="str">
        <f>IF(ISNA(_xlfn.XMATCH(A116,PURCHASE!$A:$A)),"先入料",_xlfn.XLOOKUP(A116,PURCHASE!A:A,PURCHASE!B:B))</f>
        <v>R</v>
      </c>
      <c r="C116" s="2" cm="1">
        <f t="array" ref="C116">IF(ISNA(_xlfn.XMATCH(A116,PURCHASE!$A:$A)),"先入料",SUMPRODUCT((PURCHASE!$A$2:$A$997=MAIN!A116)*PURCHASE!$C$2:$C$997)-SUMPRODUCT((CONSUME!$A$2:$A$992=MAIN!A116)*CONSUME!$C$2:$C$992))</f>
        <v>0</v>
      </c>
      <c r="D116" s="2">
        <f>IF(ISNA(_xlfn.XMATCH(A116,PURCHASE!$A:$A)),"先入料",_xlfn.XLOOKUP(A116,PURCHASE!A:A,PURCHASE!D:D))</f>
        <v>0</v>
      </c>
      <c r="E116" s="4" t="str">
        <f>HYPERLINK("https://www.digikey.tw/product-detail/zh/yageo/RC0201FR-07499KL/YAG2699CT-ND/5281563","RC0201FR-07499KL")</f>
        <v>RC0201FR-07499KL</v>
      </c>
      <c r="F116" s="4" t="str">
        <f>HYPERLINK("https://www.yageo.com/upload/media/product/productsearch/datasheet/rchip/PYu-RC_Group_51_RoHS_L_11.pdf","pdf")</f>
        <v>pdf</v>
      </c>
      <c r="H116" s="10" t="s">
        <v>466</v>
      </c>
      <c r="I116" s="13">
        <v>1</v>
      </c>
      <c r="K116" s="13">
        <v>1</v>
      </c>
      <c r="O116" t="s">
        <v>297</v>
      </c>
    </row>
    <row r="117" spans="1:15" x14ac:dyDescent="0.25">
      <c r="A117" t="s">
        <v>298</v>
      </c>
      <c r="B117" s="2" t="str">
        <f>IF(ISNA(_xlfn.XMATCH(A117,PURCHASE!$A:$A)),"先入料",_xlfn.XLOOKUP(A117,PURCHASE!A:A,PURCHASE!B:B))</f>
        <v>C</v>
      </c>
      <c r="C117" s="2" cm="1">
        <f t="array" ref="C117">IF(ISNA(_xlfn.XMATCH(A117,PURCHASE!$A:$A)),"先入料",SUMPRODUCT((PURCHASE!$A$2:$A$997=MAIN!A117)*PURCHASE!$C$2:$C$997)-SUMPRODUCT((CONSUME!$A$2:$A$992=MAIN!A117)*CONSUME!$C$2:$C$992))</f>
        <v>0</v>
      </c>
      <c r="D117" s="2">
        <f>IF(ISNA(_xlfn.XMATCH(A117,PURCHASE!$A:$A)),"先入料",_xlfn.XLOOKUP(A117,PURCHASE!A:A,PURCHASE!D:D))</f>
        <v>0</v>
      </c>
      <c r="E117" s="4" t="str">
        <f>HYPERLINK("https://www.digikey.tw/product-detail/zh/murata-electronics/GRM155R71H223KA12J/490-6360-1-ND/3845557", "GRM155R71H223KA12J")</f>
        <v>GRM155R71H223KA12J</v>
      </c>
      <c r="F117" s="4" t="str">
        <f>HYPERLINK("https://search.murata.co.jp/Ceramy/image/img/A01X/G101/ENG/GRM155R71H223KA12-01.pdf","pdf")</f>
        <v>pdf</v>
      </c>
      <c r="H117" s="10" t="s">
        <v>380</v>
      </c>
      <c r="I117" s="13">
        <v>1</v>
      </c>
      <c r="O117" t="s">
        <v>299</v>
      </c>
    </row>
    <row r="118" spans="1:15" x14ac:dyDescent="0.25">
      <c r="A118" t="s">
        <v>311</v>
      </c>
      <c r="B118" s="2" t="str">
        <f>IF(ISNA(_xlfn.XMATCH(A118,PURCHASE!$A:$A)),"先入料",_xlfn.XLOOKUP(A118,PURCHASE!A:A,PURCHASE!B:B))</f>
        <v>C</v>
      </c>
      <c r="C118" s="2" cm="1">
        <f t="array" ref="C118">IF(ISNA(_xlfn.XMATCH(A118,PURCHASE!$A:$A)),"先入料",SUMPRODUCT((PURCHASE!$A$2:$A$997=MAIN!A118)*PURCHASE!$C$2:$C$997)-SUMPRODUCT((CONSUME!$A$2:$A$992=MAIN!A118)*CONSUME!$C$2:$C$992))</f>
        <v>4</v>
      </c>
      <c r="D118" s="2" t="str">
        <f>IF(ISNA(_xlfn.XMATCH(A118,PURCHASE!$A:$A)),"先入料",_xlfn.XLOOKUP(A118,PURCHASE!A:A,PURCHASE!D:D))</f>
        <v>C7-1</v>
      </c>
      <c r="E118" s="4" t="str">
        <f>HYPERLINK("https://www.digikey.tw/product-detail/zh/TPSC106K025R0300/478-3360-1-ND/946539?itemSeq=377259097", "TPSC106K025R0300")</f>
        <v>TPSC106K025R0300</v>
      </c>
      <c r="F118" s="4" t="str">
        <f>HYPERLINK("https://datasheets.avx.com/TPS.pdf","pdf")</f>
        <v>pdf</v>
      </c>
      <c r="H118" s="10" t="s">
        <v>462</v>
      </c>
      <c r="K118" s="13">
        <v>6</v>
      </c>
      <c r="O118" t="s">
        <v>469</v>
      </c>
    </row>
    <row r="119" spans="1:15" x14ac:dyDescent="0.25">
      <c r="A119" t="s">
        <v>300</v>
      </c>
      <c r="B119" s="2" t="str">
        <f>IF(ISNA(_xlfn.XMATCH(A119,PURCHASE!$A:$A)),"先入料",_xlfn.XLOOKUP(A119,PURCHASE!A:A,PURCHASE!B:B))</f>
        <v>R</v>
      </c>
      <c r="C119" s="2" cm="1">
        <f t="array" ref="C119">IF(ISNA(_xlfn.XMATCH(A119,PURCHASE!$A:$A)),"先入料",SUMPRODUCT((PURCHASE!$A$2:$A$997=MAIN!A119)*PURCHASE!$C$2:$C$997)-SUMPRODUCT((CONSUME!$A$2:$A$992=MAIN!A119)*CONSUME!$C$2:$C$992))</f>
        <v>0</v>
      </c>
      <c r="D119" s="2">
        <f>IF(ISNA(_xlfn.XMATCH(A119,PURCHASE!$A:$A)),"先入料",_xlfn.XLOOKUP(A119,PURCHASE!A:A,PURCHASE!D:D))</f>
        <v>0</v>
      </c>
      <c r="E119" s="4" t="str">
        <f>HYPERLINK("https://www.digikey.tw/product-detail/zh/yageo/AC0402FR-072KL/YAG3470CT-ND/6006319","AC0402FR-072KL")</f>
        <v>AC0402FR-072KL</v>
      </c>
      <c r="F119" s="4" t="str">
        <f>HYPERLINK("https://www.yageo.com/upload/media/product/productsearch/datasheet/rchip/PYu-RC_Group_51_RoHS_L_11.pdf","pdf")</f>
        <v>pdf</v>
      </c>
      <c r="H119" s="10" t="s">
        <v>466</v>
      </c>
      <c r="J119" s="13">
        <v>3</v>
      </c>
      <c r="K119" s="13">
        <v>2</v>
      </c>
      <c r="O119" t="s">
        <v>301</v>
      </c>
    </row>
    <row r="120" spans="1:15" x14ac:dyDescent="0.25">
      <c r="A120" t="s">
        <v>302</v>
      </c>
      <c r="B120" s="2" t="str">
        <f>IF(ISNA(_xlfn.XMATCH(A120,PURCHASE!$A:$A)),"先入料",_xlfn.XLOOKUP(A120,PURCHASE!A:A,PURCHASE!B:B))</f>
        <v>R</v>
      </c>
      <c r="C120" s="2" cm="1">
        <f t="array" ref="C120">IF(ISNA(_xlfn.XMATCH(A120,PURCHASE!$A:$A)),"先入料",SUMPRODUCT((PURCHASE!$A$2:$A$997=MAIN!A120)*PURCHASE!$C$2:$C$997)-SUMPRODUCT((CONSUME!$A$2:$A$992=MAIN!A120)*CONSUME!$C$2:$C$992))</f>
        <v>0</v>
      </c>
      <c r="D120" s="2">
        <f>IF(ISNA(_xlfn.XMATCH(A120,PURCHASE!$A:$A)),"先入料",_xlfn.XLOOKUP(A120,PURCHASE!A:A,PURCHASE!D:D))</f>
        <v>0</v>
      </c>
      <c r="E120" s="4" t="str">
        <f>HYPERLINK("https://www.digikey.tw/product-detail/zh/yageo/AC0402FR-07100KL/YAG3434CT-ND/6006283","AC0402FR-07100KL")</f>
        <v>AC0402FR-07100KL</v>
      </c>
      <c r="F120" s="4" t="str">
        <f>HYPERLINK("https://www.yageo.com/upload/media/product/productsearch/datasheet/rchip/PYu-RC_Group_51_RoHS_L_11.pdf","pdf")</f>
        <v>pdf</v>
      </c>
      <c r="H120" s="10" t="s">
        <v>462</v>
      </c>
      <c r="K120" s="13">
        <v>2</v>
      </c>
      <c r="O120" t="s">
        <v>303</v>
      </c>
    </row>
    <row r="121" spans="1:15" x14ac:dyDescent="0.25">
      <c r="A121" t="s">
        <v>304</v>
      </c>
      <c r="B121" s="2" t="str">
        <f>IF(ISNA(_xlfn.XMATCH(A121,PURCHASE!$A:$A)),"先入料",_xlfn.XLOOKUP(A121,PURCHASE!A:A,PURCHASE!B:B))</f>
        <v>C</v>
      </c>
      <c r="C121" s="2" cm="1">
        <f t="array" ref="C121">IF(ISNA(_xlfn.XMATCH(A121,PURCHASE!$A:$A)),"先入料",SUMPRODUCT((PURCHASE!$A$2:$A$997=MAIN!A121)*PURCHASE!$C$2:$C$997)-SUMPRODUCT((CONSUME!$A$2:$A$992=MAIN!A121)*CONSUME!$C$2:$C$992))</f>
        <v>0</v>
      </c>
      <c r="D121" s="2">
        <f>IF(ISNA(_xlfn.XMATCH(A121,PURCHASE!$A:$A)),"先入料",_xlfn.XLOOKUP(A121,PURCHASE!A:A,PURCHASE!D:D))</f>
        <v>0</v>
      </c>
      <c r="E121" s="4" t="str">
        <f>HYPERLINK("https://www.digikey.tw/product-detail/zh/samsung-electro-mechanics/CL10B683KB8WPNC/1276-6541-1-ND/5961400", "CL10B683KB8WPNC")</f>
        <v>CL10B683KB8WPNC</v>
      </c>
      <c r="F121" s="4" t="str">
        <f>HYPERLINK("https://media.digikey.com/pdf/Data%20Sheets/Samsung%20PDFs/CL_Series_MLCC_ds.pdf","pdf")</f>
        <v>pdf</v>
      </c>
      <c r="H121" s="10" t="s">
        <v>462</v>
      </c>
      <c r="K121" s="13">
        <v>1</v>
      </c>
      <c r="O121" t="s">
        <v>305</v>
      </c>
    </row>
    <row r="122" spans="1:15" x14ac:dyDescent="0.25">
      <c r="A122" t="s">
        <v>306</v>
      </c>
      <c r="B122" s="2" t="str">
        <f>IF(ISNA(_xlfn.XMATCH(A122,PURCHASE!$A:$A)),"先入料",_xlfn.XLOOKUP(A122,PURCHASE!A:A,PURCHASE!B:B))</f>
        <v>R</v>
      </c>
      <c r="C122" s="2" cm="1">
        <f t="array" ref="C122">IF(ISNA(_xlfn.XMATCH(A122,PURCHASE!$A:$A)),"先入料",SUMPRODUCT((PURCHASE!$A$2:$A$997=MAIN!A122)*PURCHASE!$C$2:$C$997)-SUMPRODUCT((CONSUME!$A$2:$A$992=MAIN!A122)*CONSUME!$C$2:$C$992))</f>
        <v>0</v>
      </c>
      <c r="D122" s="2">
        <f>IF(ISNA(_xlfn.XMATCH(A122,PURCHASE!$A:$A)),"先入料",_xlfn.XLOOKUP(A122,PURCHASE!A:A,PURCHASE!D:D))</f>
        <v>0</v>
      </c>
      <c r="E122" s="4" t="str">
        <f>HYPERLINK("https://www.digikey.tw/product-detail/zh/yageo/RC0402FR-0720KL/311-20-0KLRCT-ND/729504","RC0402FR-0720KL")</f>
        <v>RC0402FR-0720KL</v>
      </c>
      <c r="F122" s="4" t="str">
        <f>HYPERLINK("https://www.yageo.com/upload/media/product/productsearch/datasheet/rchip/PYu-RC_Group_51_RoHS_L_11.pdf","pdf")</f>
        <v>pdf</v>
      </c>
      <c r="H122" s="10" t="s">
        <v>462</v>
      </c>
      <c r="K122" s="13">
        <v>1</v>
      </c>
      <c r="O122" t="s">
        <v>307</v>
      </c>
    </row>
    <row r="123" spans="1:15" x14ac:dyDescent="0.25">
      <c r="A123" t="s">
        <v>701</v>
      </c>
      <c r="B123" s="2" t="str">
        <f>IF(ISNA(_xlfn.XMATCH(A123,PURCHASE!$A:$A)),"先入料",_xlfn.XLOOKUP(A123,PURCHASE!A:A,PURCHASE!B:B))</f>
        <v>LDO</v>
      </c>
      <c r="C123" s="2" cm="1">
        <f t="array" ref="C123">IF(ISNA(_xlfn.XMATCH(A123,PURCHASE!$A:$A)),"先入料",SUMPRODUCT((PURCHASE!$A$2:$A$997=MAIN!A123)*PURCHASE!$C$2:$C$997)-SUMPRODUCT((CONSUME!$A$2:$A$992=MAIN!A123)*CONSUME!$C$2:$C$992))</f>
        <v>10</v>
      </c>
      <c r="D123" s="2" t="str">
        <f>IF(ISNA(_xlfn.XMATCH(A123,PURCHASE!$A:$A)),"先入料",_xlfn.XLOOKUP(A123,PURCHASE!A:A,PURCHASE!D:D))</f>
        <v>D8-1</v>
      </c>
      <c r="E123" s="4" t="str">
        <f>HYPERLINK("https://www.digikey.tw/zh/products/detail/texas-instruments/TPS73525QDRBRQ1/5055917?s=N4IgTCBcDaICoAUDKB2AzAVjBgigEQCUAhAnARhAF0BfIA", "TPS73525QDRBRQ1")</f>
        <v>TPS73525QDRBRQ1</v>
      </c>
      <c r="F123" s="4" t="str">
        <f>HYPERLINK("https://polarisphotonics-my.sharepoint.com/personal/bw_shiau_polarisphotonics_com/Documents/papers/IC/LDO/tps735.pdf","pdf")</f>
        <v>pdf</v>
      </c>
      <c r="H123" s="10" t="s">
        <v>500</v>
      </c>
      <c r="L123" s="13">
        <v>1</v>
      </c>
      <c r="O123" t="s">
        <v>312</v>
      </c>
    </row>
    <row r="124" spans="1:15" x14ac:dyDescent="0.25">
      <c r="A124" t="s">
        <v>308</v>
      </c>
      <c r="B124" s="2" t="str">
        <f>IF(ISNA(_xlfn.XMATCH(A124,PURCHASE!$A:$A)),"先入料",_xlfn.XLOOKUP(A124,PURCHASE!A:A,PURCHASE!B:B))</f>
        <v>LDO</v>
      </c>
      <c r="C124" s="2" cm="1">
        <f t="array" ref="C124">IF(ISNA(_xlfn.XMATCH(A124,PURCHASE!$A:$A)),"先入料",SUMPRODUCT((PURCHASE!$A$2:$A$997=MAIN!A124)*PURCHASE!$C$2:$C$997)-SUMPRODUCT((CONSUME!$A$2:$A$992=MAIN!A124)*CONSUME!$C$2:$C$992))</f>
        <v>3</v>
      </c>
      <c r="D124" s="2" t="str">
        <f>IF(ISNA(_xlfn.XMATCH(A124,PURCHASE!$A:$A)),"先入料",_xlfn.XLOOKUP(A124,PURCHASE!A:A,PURCHASE!D:D))</f>
        <v>D8-2</v>
      </c>
      <c r="E124" s="4" t="str">
        <f>HYPERLINK("https://www.digikey.tw/zh/products/detail/texas-instruments/TPS73512DRBT/2404700?s=N4IgTCBcDaICoAUDKB2AzAVgIxgCICUAhOEAXQF8g", "TPS73512DRBT")</f>
        <v>TPS73512DRBT</v>
      </c>
      <c r="F124" s="4" t="str">
        <f>HYPERLINK("https://polarisphotonics-my.sharepoint.com/personal/bw_shiau_polarisphotonics_com/Documents/papers/IC/LDO/tps735.pdf","pdf")</f>
        <v>pdf</v>
      </c>
      <c r="H124" s="10" t="s">
        <v>462</v>
      </c>
      <c r="K124" s="13">
        <v>1</v>
      </c>
      <c r="O124" t="s">
        <v>313</v>
      </c>
    </row>
    <row r="125" spans="1:15" x14ac:dyDescent="0.25">
      <c r="A125" t="s">
        <v>309</v>
      </c>
      <c r="B125" s="2" t="str">
        <f>IF(ISNA(_xlfn.XMATCH(A125,PURCHASE!$A:$A)),"先入料",_xlfn.XLOOKUP(A125,PURCHASE!A:A,PURCHASE!B:B))</f>
        <v>LDO</v>
      </c>
      <c r="C125" s="2" cm="1">
        <f t="array" ref="C125">IF(ISNA(_xlfn.XMATCH(A125,PURCHASE!$A:$A)),"先入料",SUMPRODUCT((PURCHASE!$A$2:$A$997=MAIN!A125)*PURCHASE!$C$2:$C$997)-SUMPRODUCT((CONSUME!$A$2:$A$992=MAIN!A125)*CONSUME!$C$2:$C$992))</f>
        <v>0</v>
      </c>
      <c r="D125" s="2">
        <f>IF(ISNA(_xlfn.XMATCH(A125,PURCHASE!$A:$A)),"先入料",_xlfn.XLOOKUP(A125,PURCHASE!A:A,PURCHASE!D:D))</f>
        <v>0</v>
      </c>
      <c r="E125" s="4" t="str">
        <f>HYPERLINK("https://www.digikey.tw/product-detail/zh/texas-instruments/TPS73533DRBT/296-24854-1-ND/2096209", "TPS73533DRBT")</f>
        <v>TPS73533DRBT</v>
      </c>
      <c r="F125" s="4" t="str">
        <f>HYPERLINK("https://polarisphotonics-my.sharepoint.com/personal/bw_shiau_polarisphotonics_com/Documents/papers/IC/LDO/tps735.pdf","pdf")</f>
        <v>pdf</v>
      </c>
      <c r="H125" s="10" t="s">
        <v>380</v>
      </c>
      <c r="O125" t="s">
        <v>314</v>
      </c>
    </row>
    <row r="126" spans="1:15" x14ac:dyDescent="0.25">
      <c r="A126" t="s">
        <v>310</v>
      </c>
      <c r="B126" s="2" t="str">
        <f>IF(ISNA(_xlfn.XMATCH(A126,PURCHASE!$A:$A)),"先入料",_xlfn.XLOOKUP(A126,PURCHASE!A:A,PURCHASE!B:B))</f>
        <v>LDO</v>
      </c>
      <c r="C126" s="2" cm="1">
        <f t="array" ref="C126">IF(ISNA(_xlfn.XMATCH(A126,PURCHASE!$A:$A)),"先入料",SUMPRODUCT((PURCHASE!$A$2:$A$997=MAIN!A126)*PURCHASE!$C$2:$C$997)-SUMPRODUCT((CONSUME!$A$2:$A$992=MAIN!A126)*CONSUME!$C$2:$C$992))</f>
        <v>0</v>
      </c>
      <c r="D126" s="2">
        <f>IF(ISNA(_xlfn.XMATCH(A126,PURCHASE!$A:$A)),"先入料",_xlfn.XLOOKUP(A126,PURCHASE!A:A,PURCHASE!D:D))</f>
        <v>0</v>
      </c>
      <c r="E126" s="4" t="str">
        <f>HYPERLINK("https://www.digikey.tw/product-detail/zh/texas-instruments/TPS73718DRBR/296-38307-1-ND/4967512", "TPS73718DRBR")</f>
        <v>TPS73718DRBR</v>
      </c>
      <c r="F126" s="4" t="str">
        <f>HYPERLINK("https://polarisphotonics-my.sharepoint.com/personal/bw_shiau_polarisphotonics_com/Documents/papers/IC/LDO/tps737.pdf","pdf")</f>
        <v>pdf</v>
      </c>
      <c r="H126" s="10" t="s">
        <v>380</v>
      </c>
      <c r="O126" t="s">
        <v>315</v>
      </c>
    </row>
    <row r="127" spans="1:15" x14ac:dyDescent="0.25">
      <c r="A127" t="s">
        <v>316</v>
      </c>
      <c r="B127" s="2" t="str">
        <f>IF(ISNA(_xlfn.XMATCH(A127,PURCHASE!$A:$A)),"先入料",_xlfn.XLOOKUP(A127,PURCHASE!A:A,PURCHASE!B:B))</f>
        <v>R</v>
      </c>
      <c r="C127" s="2" cm="1">
        <f t="array" ref="C127">IF(ISNA(_xlfn.XMATCH(A127,PURCHASE!$A:$A)),"先入料",SUMPRODUCT((PURCHASE!$A$2:$A$997=MAIN!A127)*PURCHASE!$C$2:$C$997)-SUMPRODUCT((CONSUME!$A$2:$A$992=MAIN!A127)*CONSUME!$C$2:$C$992))</f>
        <v>4</v>
      </c>
      <c r="D127" s="2" t="str">
        <f>IF(ISNA(_xlfn.XMATCH(A127,PURCHASE!$A:$A)),"先入料",_xlfn.XLOOKUP(A127,PURCHASE!A:A,PURCHASE!D:D))</f>
        <v>A7-2</v>
      </c>
      <c r="E127" s="4" t="str">
        <f>HYPERLINK("https://www.digikey.tw/product-detail/zh/te-connectivity-passive-product/35221R0JT/A121177CT-ND/5245234","35221R0JT")</f>
        <v>35221R0JT</v>
      </c>
      <c r="F127" s="4" t="str">
        <f>HYPERLINK("https://www.te.com/commerce/DocumentDelivery/DDEController?Action=srchrtrv&amp;DocNm=9-1773463-7&amp;DocType=DS&amp;DocLang=English","pdf")</f>
        <v>pdf</v>
      </c>
      <c r="H127" s="10" t="s">
        <v>462</v>
      </c>
      <c r="K127" s="13">
        <v>1</v>
      </c>
      <c r="O127" t="s">
        <v>320</v>
      </c>
    </row>
    <row r="128" spans="1:15" x14ac:dyDescent="0.25">
      <c r="A128" t="s">
        <v>317</v>
      </c>
      <c r="B128" s="2" t="str">
        <f>IF(ISNA(_xlfn.XMATCH(A128,PURCHASE!$A:$A)),"先入料",_xlfn.XLOOKUP(A128,PURCHASE!A:A,PURCHASE!B:B))</f>
        <v>R</v>
      </c>
      <c r="C128" s="2" cm="1">
        <f t="array" ref="C128">IF(ISNA(_xlfn.XMATCH(A128,PURCHASE!$A:$A)),"先入料",SUMPRODUCT((PURCHASE!$A$2:$A$997=MAIN!A128)*PURCHASE!$C$2:$C$997)-SUMPRODUCT((CONSUME!$A$2:$A$992=MAIN!A128)*CONSUME!$C$2:$C$992))</f>
        <v>0</v>
      </c>
      <c r="D128" s="2">
        <f>IF(ISNA(_xlfn.XMATCH(A128,PURCHASE!$A:$A)),"先入料",_xlfn.XLOOKUP(A128,PURCHASE!A:A,PURCHASE!D:D))</f>
        <v>0</v>
      </c>
      <c r="E128" s="4" t="str">
        <f>HYPERLINK("https://www.digikey.tw/product-detail/zh/te-connectivity-passive-product/35222R2JT/A121213CT-ND/5245270","35222R2JT")</f>
        <v>35222R2JT</v>
      </c>
      <c r="F128" s="4" t="str">
        <f t="shared" ref="F128:F130" si="1">HYPERLINK("https://www.te.com/commerce/DocumentDelivery/DDEController?Action=srchrtrv&amp;DocNm=9-1773463-7&amp;DocType=DS&amp;DocLang=English","pdf")</f>
        <v>pdf</v>
      </c>
      <c r="H128" s="10" t="s">
        <v>380</v>
      </c>
      <c r="O128" t="s">
        <v>321</v>
      </c>
    </row>
    <row r="129" spans="1:15" x14ac:dyDescent="0.25">
      <c r="A129" t="s">
        <v>318</v>
      </c>
      <c r="B129" s="2" t="str">
        <f>IF(ISNA(_xlfn.XMATCH(A129,PURCHASE!$A:$A)),"先入料",_xlfn.XLOOKUP(A129,PURCHASE!A:A,PURCHASE!B:B))</f>
        <v>R</v>
      </c>
      <c r="C129" s="2" cm="1">
        <f t="array" ref="C129">IF(ISNA(_xlfn.XMATCH(A129,PURCHASE!$A:$A)),"先入料",SUMPRODUCT((PURCHASE!$A$2:$A$997=MAIN!A129)*PURCHASE!$C$2:$C$997)-SUMPRODUCT((CONSUME!$A$2:$A$992=MAIN!A129)*CONSUME!$C$2:$C$992))</f>
        <v>0</v>
      </c>
      <c r="D129" s="2">
        <f>IF(ISNA(_xlfn.XMATCH(A129,PURCHASE!$A:$A)),"先入料",_xlfn.XLOOKUP(A129,PURCHASE!A:A,PURCHASE!D:D))</f>
        <v>0</v>
      </c>
      <c r="E129" s="4" t="str">
        <f>HYPERLINK("https://www.digikey.tw/product-detail/zh/te-connectivity-passive-product/35223R3JT/A121247CT-ND/5245304","35223R3JT")</f>
        <v>35223R3JT</v>
      </c>
      <c r="F129" s="4" t="str">
        <f t="shared" si="1"/>
        <v>pdf</v>
      </c>
      <c r="H129" s="10" t="s">
        <v>380</v>
      </c>
      <c r="O129" t="s">
        <v>322</v>
      </c>
    </row>
    <row r="130" spans="1:15" x14ac:dyDescent="0.25">
      <c r="A130" t="s">
        <v>319</v>
      </c>
      <c r="B130" s="2" t="str">
        <f>IF(ISNA(_xlfn.XMATCH(A130,PURCHASE!$A:$A)),"先入料",_xlfn.XLOOKUP(A130,PURCHASE!A:A,PURCHASE!B:B))</f>
        <v>R</v>
      </c>
      <c r="C130" s="2" cm="1">
        <f t="array" ref="C130">IF(ISNA(_xlfn.XMATCH(A130,PURCHASE!$A:$A)),"先入料",SUMPRODUCT((PURCHASE!$A$2:$A$997=MAIN!A130)*PURCHASE!$C$2:$C$997)-SUMPRODUCT((CONSUME!$A$2:$A$992=MAIN!A130)*CONSUME!$C$2:$C$992))</f>
        <v>0</v>
      </c>
      <c r="D130" s="2">
        <f>IF(ISNA(_xlfn.XMATCH(A130,PURCHASE!$A:$A)),"先入料",_xlfn.XLOOKUP(A130,PURCHASE!A:A,PURCHASE!D:D))</f>
        <v>0</v>
      </c>
      <c r="E130" s="4" t="str">
        <f>HYPERLINK("https://www.digikey.tw/product-detail/zh/te-connectivity-passive-product/35224R7JT/A121265CT-ND/5245322","35224R7JT")</f>
        <v>35224R7JT</v>
      </c>
      <c r="F130" s="4" t="str">
        <f t="shared" si="1"/>
        <v>pdf</v>
      </c>
      <c r="H130" s="10" t="s">
        <v>380</v>
      </c>
      <c r="O130" t="s">
        <v>323</v>
      </c>
    </row>
    <row r="131" spans="1:15" x14ac:dyDescent="0.25">
      <c r="A131" t="s">
        <v>374</v>
      </c>
      <c r="B131" s="2" t="str">
        <f>IF(ISNA(_xlfn.XMATCH(A131,PURCHASE!$A:$A)),"先入料",_xlfn.XLOOKUP(A131,PURCHASE!A:A,PURCHASE!B:B))</f>
        <v>CON</v>
      </c>
      <c r="C131" s="2" cm="1">
        <f t="array" ref="C131">IF(ISNA(_xlfn.XMATCH(A131,PURCHASE!$A:$A)),"先入料",SUMPRODUCT((PURCHASE!$A$2:$A$997=MAIN!A131)*PURCHASE!$C$2:$C$997)-SUMPRODUCT((CONSUME!$A$2:$A$992=MAIN!A131)*CONSUME!$C$2:$C$992))</f>
        <v>9</v>
      </c>
      <c r="D131" s="2" t="str">
        <f>IF(ISNA(_xlfn.XMATCH(A131,PURCHASE!$A:$A)),"先入料",_xlfn.XLOOKUP(A131,PURCHASE!A:A,PURCHASE!D:D))</f>
        <v>C6-2</v>
      </c>
      <c r="E131" s="4" t="str">
        <f>HYPERLINK("https://www.digikey.tw/product-detail/zh/cnc-tech/3020-10-0200-00/1175-1615-ND/3441725", "3020-10-0200-00")</f>
        <v>3020-10-0200-00</v>
      </c>
      <c r="F131" s="4" t="str">
        <f>HYPERLINK("http://www.cnctech.us/pdfs/3020-XX-0200-00_.pdf","pdf")</f>
        <v>pdf</v>
      </c>
      <c r="H131" s="10" t="s">
        <v>380</v>
      </c>
      <c r="J131" s="13">
        <v>1</v>
      </c>
      <c r="O131" t="s">
        <v>375</v>
      </c>
    </row>
    <row r="132" spans="1:15" x14ac:dyDescent="0.25">
      <c r="A132" t="s">
        <v>325</v>
      </c>
      <c r="B132" s="2" t="str">
        <f>IF(ISNA(_xlfn.XMATCH(A132,PURCHASE!$A:$A)),"先入料",_xlfn.XLOOKUP(A132,PURCHASE!A:A,PURCHASE!B:B))</f>
        <v>D</v>
      </c>
      <c r="C132" s="2" cm="1">
        <f t="array" ref="C132">IF(ISNA(_xlfn.XMATCH(A132,PURCHASE!$A:$A)),"先入料",SUMPRODUCT((PURCHASE!$A$2:$A$997=MAIN!A132)*PURCHASE!$C$2:$C$997)-SUMPRODUCT((CONSUME!$A$2:$A$992=MAIN!A132)*CONSUME!$C$2:$C$992))</f>
        <v>13</v>
      </c>
      <c r="D132" s="2" t="str">
        <f>IF(ISNA(_xlfn.XMATCH(A132,PURCHASE!$A:$A)),"先入料",_xlfn.XLOOKUP(A132,PURCHASE!A:A,PURCHASE!D:D))</f>
        <v>D5-2</v>
      </c>
      <c r="E132" s="4" t="str">
        <f>HYPERLINK("https://www.digikey.tw/zh/products/detail/onsemi/SZMMSZ5228BT1G/3063347?s=N4IgTCBcDaIMoC0CyTEFYxgBwCEAqAjAOIgC6AvkA", "SZMMSZ5228BT1G")</f>
        <v>SZMMSZ5228BT1G</v>
      </c>
      <c r="F132" s="4" t="str">
        <f>HYPERLINK("https://www.onsemi.com/pdf/datasheet/mmsz5221bt1-d.pdf","pdf")</f>
        <v>pdf</v>
      </c>
      <c r="H132" s="10" t="s">
        <v>380</v>
      </c>
      <c r="J132" s="13">
        <v>1</v>
      </c>
      <c r="O132" t="s">
        <v>326</v>
      </c>
    </row>
    <row r="133" spans="1:15" x14ac:dyDescent="0.25">
      <c r="A133" t="s">
        <v>327</v>
      </c>
      <c r="B133" s="2" t="str">
        <f>IF(ISNA(_xlfn.XMATCH(A133,PURCHASE!$A:$A)),"先入料",_xlfn.XLOOKUP(A133,PURCHASE!A:A,PURCHASE!B:B))</f>
        <v>D</v>
      </c>
      <c r="C133" s="2" cm="1">
        <f t="array" ref="C133">IF(ISNA(_xlfn.XMATCH(A133,PURCHASE!$A:$A)),"先入料",SUMPRODUCT((PURCHASE!$A$2:$A$997=MAIN!A133)*PURCHASE!$C$2:$C$997)-SUMPRODUCT((CONSUME!$A$2:$A$992=MAIN!A133)*CONSUME!$C$2:$C$992))</f>
        <v>3</v>
      </c>
      <c r="D133" s="2" t="str">
        <f>IF(ISNA(_xlfn.XMATCH(A133,PURCHASE!$A:$A)),"先入料",_xlfn.XLOOKUP(A133,PURCHASE!A:A,PURCHASE!D:D))</f>
        <v>D5-1</v>
      </c>
      <c r="E133" s="4" t="str">
        <f>HYPERLINK("https://www.digikey.tw/product-detail/zh/onsemi/MMSZ5232BT1G/MMSZ5232BT1GOSCT-ND/964562", "MMSZ5232BT1G")</f>
        <v>MMSZ5232BT1G</v>
      </c>
      <c r="F133" s="4" t="str">
        <f>HYPERLINK("https://www.onsemi.com/pdf/datasheet/mmsz5221bt1-d.pdf","pdf")</f>
        <v>pdf</v>
      </c>
      <c r="H133" s="10" t="s">
        <v>380</v>
      </c>
      <c r="J133" s="13">
        <v>1</v>
      </c>
      <c r="O133" t="s">
        <v>328</v>
      </c>
    </row>
    <row r="134" spans="1:15" x14ac:dyDescent="0.25">
      <c r="A134" t="s">
        <v>329</v>
      </c>
      <c r="B134" s="2" t="str">
        <f>IF(ISNA(_xlfn.XMATCH(A134,PURCHASE!$A:$A)),"先入料",_xlfn.XLOOKUP(A134,PURCHASE!A:A,PURCHASE!B:B))</f>
        <v>F</v>
      </c>
      <c r="C134" s="2" cm="1">
        <f t="array" ref="C134">IF(ISNA(_xlfn.XMATCH(A134,PURCHASE!$A:$A)),"先入料",SUMPRODUCT((PURCHASE!$A$2:$A$997=MAIN!A134)*PURCHASE!$C$2:$C$997)-SUMPRODUCT((CONSUME!$A$2:$A$992=MAIN!A134)*CONSUME!$C$2:$C$992))</f>
        <v>0</v>
      </c>
      <c r="D134" s="2">
        <f>IF(ISNA(_xlfn.XMATCH(A134,PURCHASE!$A:$A)),"先入料",_xlfn.XLOOKUP(A134,PURCHASE!A:A,PURCHASE!D:D))</f>
        <v>0</v>
      </c>
      <c r="E134" s="4" t="str">
        <f>HYPERLINK("https://www.digikey.tw/product-detail/zh/littelfuse-inc/1206L150THWR/F3372CT-ND/2090991", "1206L150THWR")</f>
        <v>1206L150THWR</v>
      </c>
      <c r="F134" s="4" t="str">
        <f>HYPERLINK("https://www.littelfuse.com/~/media/electronics/datasheets/resettable_ptcs/littelfuse_ptc_1206l_datasheet.pdf.pdf","pdf")</f>
        <v>pdf</v>
      </c>
      <c r="H134" s="10" t="s">
        <v>380</v>
      </c>
      <c r="J134" s="13">
        <v>0</v>
      </c>
      <c r="O134" t="s">
        <v>332</v>
      </c>
    </row>
    <row r="135" spans="1:15" x14ac:dyDescent="0.25">
      <c r="A135" t="s">
        <v>333</v>
      </c>
      <c r="B135" s="2" t="str">
        <f>IF(ISNA(_xlfn.XMATCH(A135,PURCHASE!$A:$A)),"先入料",_xlfn.XLOOKUP(A135,PURCHASE!A:A,PURCHASE!B:B))</f>
        <v>CON</v>
      </c>
      <c r="C135" s="2" cm="1">
        <f t="array" ref="C135">IF(ISNA(_xlfn.XMATCH(A135,PURCHASE!$A:$A)),"先入料",SUMPRODUCT((PURCHASE!$A$2:$A$997=MAIN!A135)*PURCHASE!$C$2:$C$997)-SUMPRODUCT((CONSUME!$A$2:$A$992=MAIN!A135)*CONSUME!$C$2:$C$992))</f>
        <v>0</v>
      </c>
      <c r="D135" s="2">
        <f>IF(ISNA(_xlfn.XMATCH(A135,PURCHASE!$A:$A)),"先入料",_xlfn.XLOOKUP(A135,PURCHASE!A:A,PURCHASE!D:D))</f>
        <v>0</v>
      </c>
      <c r="E135" s="4" t="str">
        <f>HYPERLINK("https://www.digikey.tw/product-detail/zh/cnc-tech/3020-14-0200-00/1175-1616-ND/3441730", "3020-14-0200-00")</f>
        <v>3020-14-0200-00</v>
      </c>
      <c r="F135" s="4" t="str">
        <f>HYPERLINK("http://www.cnctech.us/pdfs/3020-XX-0200-00_.pdf","pdf")</f>
        <v>pdf</v>
      </c>
      <c r="H135" s="10" t="s">
        <v>380</v>
      </c>
      <c r="O135" t="s">
        <v>334</v>
      </c>
    </row>
    <row r="136" spans="1:15" x14ac:dyDescent="0.25">
      <c r="A136" t="s">
        <v>335</v>
      </c>
      <c r="B136" s="2" t="str">
        <f>IF(ISNA(_xlfn.XMATCH(A136,PURCHASE!$A:$A)),"先入料",_xlfn.XLOOKUP(A136,PURCHASE!A:A,PURCHASE!B:B))</f>
        <v>POW</v>
      </c>
      <c r="C136" s="2" cm="1">
        <f t="array" ref="C136">IF(ISNA(_xlfn.XMATCH(A136,PURCHASE!$A:$A)),"先入料",SUMPRODUCT((PURCHASE!$A$2:$A$997=MAIN!A136)*PURCHASE!$C$2:$C$997)-SUMPRODUCT((CONSUME!$A$2:$A$992=MAIN!A136)*CONSUME!$C$2:$C$992))</f>
        <v>0</v>
      </c>
      <c r="D136" s="2">
        <f>IF(ISNA(_xlfn.XMATCH(A136,PURCHASE!$A:$A)),"先入料",_xlfn.XLOOKUP(A136,PURCHASE!A:A,PURCHASE!D:D))</f>
        <v>0</v>
      </c>
      <c r="E136" s="4" t="str">
        <f>HYPERLINK("https://www.digikey.tw/product-detail/zh/analog-devices-inc/ADP2384ACPZN-R7/505-ADP2384ACPZN-R7CT-ND/3758426","ADP2384ACPZN-R7")</f>
        <v>ADP2384ACPZN-R7</v>
      </c>
      <c r="F136" s="4" t="str">
        <f>HYPERLINK("https://polarisphotonics-my.sharepoint.com/personal/bw_shiau_polarisphotonics_com/Documents/papers/IC/Buck/ADP2384.pdf","pdf")</f>
        <v>pdf</v>
      </c>
      <c r="H136" s="10" t="s">
        <v>503</v>
      </c>
      <c r="L136" s="13">
        <v>3</v>
      </c>
      <c r="O136" t="s">
        <v>366</v>
      </c>
    </row>
    <row r="137" spans="1:15" x14ac:dyDescent="0.25">
      <c r="A137" t="s">
        <v>336</v>
      </c>
      <c r="B137" s="2" t="str">
        <f>IF(ISNA(_xlfn.XMATCH(A137,PURCHASE!$A:$A)),"先入料",_xlfn.XLOOKUP(A137,PURCHASE!A:A,PURCHASE!B:B))</f>
        <v>L</v>
      </c>
      <c r="C137" s="2" cm="1">
        <f t="array" ref="C137">IF(ISNA(_xlfn.XMATCH(A137,PURCHASE!$A:$A)),"先入料",SUMPRODUCT((PURCHASE!$A$2:$A$997=MAIN!A137)*PURCHASE!$C$2:$C$997)-SUMPRODUCT((CONSUME!$A$2:$A$992=MAIN!A137)*CONSUME!$C$2:$C$992))</f>
        <v>0</v>
      </c>
      <c r="D137" s="2">
        <f>IF(ISNA(_xlfn.XMATCH(A137,PURCHASE!$A:$A)),"先入料",_xlfn.XLOOKUP(A137,PURCHASE!A:A,PURCHASE!D:D))</f>
        <v>0</v>
      </c>
      <c r="E137" s="4" t="str">
        <f>HYPERLINK("https://www.digikey.tw/product-detail/zh/vishay-dale/IHLP4040DZER3R3M01/541-1298-1-ND/2217612","IHLP4040DZER3R3M01")</f>
        <v>IHLP4040DZER3R3M01</v>
      </c>
      <c r="F137" s="4" t="str">
        <f>HYPERLINK("https://www.vishay.com/docs/34193/ihlp-4040dz-01.pdf","pdf")</f>
        <v>pdf</v>
      </c>
      <c r="H137" s="10" t="s">
        <v>381</v>
      </c>
      <c r="O137" t="s">
        <v>339</v>
      </c>
    </row>
    <row r="138" spans="1:15" x14ac:dyDescent="0.25">
      <c r="A138" t="s">
        <v>337</v>
      </c>
      <c r="B138" s="2" t="str">
        <f>IF(ISNA(_xlfn.XMATCH(A138,PURCHASE!$A:$A)),"先入料",_xlfn.XLOOKUP(A138,PURCHASE!A:A,PURCHASE!B:B))</f>
        <v>L</v>
      </c>
      <c r="C138" s="2" cm="1">
        <f t="array" ref="C138">IF(ISNA(_xlfn.XMATCH(A138,PURCHASE!$A:$A)),"先入料",SUMPRODUCT((PURCHASE!$A$2:$A$997=MAIN!A138)*PURCHASE!$C$2:$C$997)-SUMPRODUCT((CONSUME!$A$2:$A$992=MAIN!A138)*CONSUME!$C$2:$C$992))</f>
        <v>0</v>
      </c>
      <c r="D138" s="2">
        <f>IF(ISNA(_xlfn.XMATCH(A138,PURCHASE!$A:$A)),"先入料",_xlfn.XLOOKUP(A138,PURCHASE!A:A,PURCHASE!D:D))</f>
        <v>0</v>
      </c>
      <c r="E138" s="4" t="str">
        <f>HYPERLINK("https://www.digikey.tw/product-detail/zh/vishay-dale/IHLP4040DZET4R7M01/541-9975-1-ND/9698879","IHLP4040DZET4R7M01")</f>
        <v>IHLP4040DZET4R7M01</v>
      </c>
      <c r="F138" s="4" t="str">
        <f>HYPERLINK("https://www.vishay.com/docs/34193/ihlp-4040dz-01.pdf","pdf")</f>
        <v>pdf</v>
      </c>
      <c r="H138" s="10" t="s">
        <v>380</v>
      </c>
      <c r="O138" t="s">
        <v>340</v>
      </c>
    </row>
    <row r="139" spans="1:15" x14ac:dyDescent="0.25">
      <c r="A139" t="s">
        <v>338</v>
      </c>
      <c r="B139" s="2" t="str">
        <f>IF(ISNA(_xlfn.XMATCH(A139,PURCHASE!$A:$A)),"先入料",_xlfn.XLOOKUP(A139,PURCHASE!A:A,PURCHASE!B:B))</f>
        <v>L</v>
      </c>
      <c r="C139" s="2" cm="1">
        <f t="array" ref="C139">IF(ISNA(_xlfn.XMATCH(A139,PURCHASE!$A:$A)),"先入料",SUMPRODUCT((PURCHASE!$A$2:$A$997=MAIN!A139)*PURCHASE!$C$2:$C$997)-SUMPRODUCT((CONSUME!$A$2:$A$992=MAIN!A139)*CONSUME!$C$2:$C$992))</f>
        <v>0</v>
      </c>
      <c r="D139" s="2">
        <f>IF(ISNA(_xlfn.XMATCH(A139,PURCHASE!$A:$A)),"先入料",_xlfn.XLOOKUP(A139,PURCHASE!A:A,PURCHASE!D:D))</f>
        <v>0</v>
      </c>
      <c r="E139" s="4" t="str">
        <f>HYPERLINK("https://www.digikey.tw/product-detail/zh/vishay-dale/IHLP4040DZER6R8M01/541-1303-1-ND/2217617","IHLP4040DZER6R8M01")</f>
        <v>IHLP4040DZER6R8M01</v>
      </c>
      <c r="F139" s="4" t="str">
        <f>HYPERLINK("https://www.vishay.com/docs/34193/ihlp-4040dz-01.pdf","pdf")</f>
        <v>pdf</v>
      </c>
      <c r="H139" s="10" t="s">
        <v>380</v>
      </c>
      <c r="O139" t="s">
        <v>341</v>
      </c>
    </row>
    <row r="140" spans="1:15" x14ac:dyDescent="0.25">
      <c r="A140" t="s">
        <v>344</v>
      </c>
      <c r="B140" s="2" t="str">
        <f>IF(ISNA(_xlfn.XMATCH(A140,PURCHASE!$A:$A)),"先入料",_xlfn.XLOOKUP(A140,PURCHASE!A:A,PURCHASE!B:B))</f>
        <v>C</v>
      </c>
      <c r="C140" s="2" cm="1">
        <f t="array" ref="C140">IF(ISNA(_xlfn.XMATCH(A140,PURCHASE!$A:$A)),"先入料",SUMPRODUCT((PURCHASE!$A$2:$A$997=MAIN!A140)*PURCHASE!$C$2:$C$997)-SUMPRODUCT((CONSUME!$A$2:$A$992=MAIN!A140)*CONSUME!$C$2:$C$992))</f>
        <v>0</v>
      </c>
      <c r="D140" s="2">
        <f>IF(ISNA(_xlfn.XMATCH(A140,PURCHASE!$A:$A)),"先入料",_xlfn.XLOOKUP(A140,PURCHASE!A:A,PURCHASE!D:D))</f>
        <v>0</v>
      </c>
      <c r="E140" s="4" t="str">
        <f>HYPERLINK("https://www.digikey.tw/product-detail/zh/murata-electronics/GRM155R71E333KA88D/490-3253-1-ND/702794", "GRM155R71E333KA88D")</f>
        <v>GRM155R71E333KA88D</v>
      </c>
      <c r="F140" s="4" t="str">
        <f>HYPERLINK("https://search.murata.co.jp/Ceramy/image/img/A01X/G101/ENG/GRM155R71E333KA88-01.pdf","pdf")</f>
        <v>pdf</v>
      </c>
      <c r="H140" s="10" t="s">
        <v>380</v>
      </c>
      <c r="O140" t="s">
        <v>345</v>
      </c>
    </row>
    <row r="141" spans="1:15" x14ac:dyDescent="0.25">
      <c r="A141" t="s">
        <v>346</v>
      </c>
      <c r="B141" s="2" t="str">
        <f>IF(ISNA(_xlfn.XMATCH(A141,PURCHASE!$A:$A)),"先入料",_xlfn.XLOOKUP(A141,PURCHASE!A:A,PURCHASE!B:B))</f>
        <v>C</v>
      </c>
      <c r="C141" s="2" cm="1">
        <f t="array" ref="C141">IF(ISNA(_xlfn.XMATCH(A141,PURCHASE!$A:$A)),"先入料",SUMPRODUCT((PURCHASE!$A$2:$A$997=MAIN!A141)*PURCHASE!$C$2:$C$997)-SUMPRODUCT((CONSUME!$A$2:$A$992=MAIN!A141)*CONSUME!$C$2:$C$992))</f>
        <v>0</v>
      </c>
      <c r="D141" s="2">
        <f>IF(ISNA(_xlfn.XMATCH(A141,PURCHASE!$A:$A)),"先入料",_xlfn.XLOOKUP(A141,PURCHASE!A:A,PURCHASE!D:D))</f>
        <v>0</v>
      </c>
      <c r="E141" s="4" t="str">
        <f>HYPERLINK("https://www.digikey.tw/product-detail/zh/murata-electronics/GRM15XR71C332KA86D/490-8263-1-ND/4380557", "GRM15XR71C332KA86D")</f>
        <v>GRM15XR71C332KA86D</v>
      </c>
      <c r="F141" s="4" t="str">
        <f>HYPERLINK("https://search.murata.co.jp/Ceramy/image/img/A01X/G101/ENG/GRM15XR71C332KA86-01.pdf","pdf")</f>
        <v>pdf</v>
      </c>
      <c r="H141" s="10" t="s">
        <v>380</v>
      </c>
      <c r="O141" t="s">
        <v>348</v>
      </c>
    </row>
    <row r="142" spans="1:15" x14ac:dyDescent="0.25">
      <c r="A142" t="s">
        <v>347</v>
      </c>
      <c r="B142" s="2" t="str">
        <f>IF(ISNA(_xlfn.XMATCH(A142,PURCHASE!$A:$A)),"先入料",_xlfn.XLOOKUP(A142,PURCHASE!A:A,PURCHASE!B:B))</f>
        <v>C</v>
      </c>
      <c r="C142" s="2" cm="1">
        <f t="array" ref="C142">IF(ISNA(_xlfn.XMATCH(A142,PURCHASE!$A:$A)),"先入料",SUMPRODUCT((PURCHASE!$A$2:$A$997=MAIN!A142)*PURCHASE!$C$2:$C$997)-SUMPRODUCT((CONSUME!$A$2:$A$992=MAIN!A142)*CONSUME!$C$2:$C$992))</f>
        <v>0</v>
      </c>
      <c r="D142" s="2">
        <f>IF(ISNA(_xlfn.XMATCH(A142,PURCHASE!$A:$A)),"先入料",_xlfn.XLOOKUP(A142,PURCHASE!A:A,PURCHASE!D:D))</f>
        <v>0</v>
      </c>
      <c r="E142" s="4" t="str">
        <f>HYPERLINK("https://www.digikey.tw/product-detail/zh/murata-electronics/GRM1555C1E101JA01D/490-14363-1-ND/6606824", "GRM1555C1E101JA01D")</f>
        <v>GRM1555C1E101JA01D</v>
      </c>
      <c r="F142" s="4" t="str">
        <f>HYPERLINK("https://search.murata.co.jp/Ceramy/image/img/A01X/G101/ENG/GRM1555C1E101JA01-01.pdf","pdf")</f>
        <v>pdf</v>
      </c>
      <c r="H142" s="10" t="s">
        <v>380</v>
      </c>
      <c r="O142" t="s">
        <v>349</v>
      </c>
    </row>
    <row r="143" spans="1:15" x14ac:dyDescent="0.25">
      <c r="A143" t="s">
        <v>350</v>
      </c>
      <c r="B143" s="2" t="str">
        <f>IF(ISNA(_xlfn.XMATCH(A143,PURCHASE!$A:$A)),"先入料",_xlfn.XLOOKUP(A143,PURCHASE!A:A,PURCHASE!B:B))</f>
        <v>C</v>
      </c>
      <c r="C143" s="2" cm="1">
        <f t="array" ref="C143">IF(ISNA(_xlfn.XMATCH(A143,PURCHASE!$A:$A)),"先入料",SUMPRODUCT((PURCHASE!$A$2:$A$997=MAIN!A143)*PURCHASE!$C$2:$C$997)-SUMPRODUCT((CONSUME!$A$2:$A$992=MAIN!A143)*CONSUME!$C$2:$C$992))</f>
        <v>0</v>
      </c>
      <c r="D143" s="2">
        <f>IF(ISNA(_xlfn.XMATCH(A143,PURCHASE!$A:$A)),"先入料",_xlfn.XLOOKUP(A143,PURCHASE!A:A,PURCHASE!D:D))</f>
        <v>0</v>
      </c>
      <c r="E143" s="4" t="str">
        <f>HYPERLINK("https://www.digikey.tw/product-detail/zh/murata-electronics/GRM1555C1H680JA01D/490-5876-1-ND/3175222", "GRM1555C1H680JA01D")</f>
        <v>GRM1555C1H680JA01D</v>
      </c>
      <c r="F143" s="4" t="str">
        <f>HYPERLINK("https://search.murata.co.jp/Ceramy/image/img/A01X/G101/ENG/GRM1555C1H6R8CA01-01.pdf","pdf")</f>
        <v>pdf</v>
      </c>
      <c r="H143" s="10" t="s">
        <v>380</v>
      </c>
      <c r="O143" t="s">
        <v>351</v>
      </c>
    </row>
    <row r="144" spans="1:15" x14ac:dyDescent="0.25">
      <c r="A144" t="s">
        <v>352</v>
      </c>
      <c r="B144" s="2" t="str">
        <f>IF(ISNA(_xlfn.XMATCH(A144,PURCHASE!$A:$A)),"先入料",_xlfn.XLOOKUP(A144,PURCHASE!A:A,PURCHASE!B:B))</f>
        <v>C</v>
      </c>
      <c r="C144" s="2" cm="1">
        <f t="array" ref="C144">IF(ISNA(_xlfn.XMATCH(A144,PURCHASE!$A:$A)),"先入料",SUMPRODUCT((PURCHASE!$A$2:$A$997=MAIN!A144)*PURCHASE!$C$2:$C$997)-SUMPRODUCT((CONSUME!$A$2:$A$992=MAIN!A144)*CONSUME!$C$2:$C$992))</f>
        <v>0</v>
      </c>
      <c r="D144" s="2">
        <f>IF(ISNA(_xlfn.XMATCH(A144,PURCHASE!$A:$A)),"先入料",_xlfn.XLOOKUP(A144,PURCHASE!A:A,PURCHASE!D:D))</f>
        <v>0</v>
      </c>
      <c r="E144" s="4" t="str">
        <f>HYPERLINK("https://www.digikey.tw/product-detail/zh/murata-electronics/GRM1555C1H8R2DA01D/490-5953-1-ND/3721310", "GRM1555C1H8R2DA01D")</f>
        <v>GRM1555C1H8R2DA01D</v>
      </c>
      <c r="F144" s="4" t="str">
        <f>HYPERLINK("https://search.murata.co.jp/Ceramy/image/img/A01X/G101/ENG/GRM1555C1H6R8CA01-01.pdf","pdf")</f>
        <v>pdf</v>
      </c>
      <c r="H144" s="10" t="s">
        <v>380</v>
      </c>
      <c r="O144" t="s">
        <v>353</v>
      </c>
    </row>
    <row r="145" spans="1:15" x14ac:dyDescent="0.25">
      <c r="A145" t="s">
        <v>354</v>
      </c>
      <c r="B145" s="2" t="str">
        <f>IF(ISNA(_xlfn.XMATCH(A145,PURCHASE!$A:$A)),"先入料",_xlfn.XLOOKUP(A145,PURCHASE!A:A,PURCHASE!B:B))</f>
        <v>C</v>
      </c>
      <c r="C145" s="2" cm="1">
        <f t="array" ref="C145">IF(ISNA(_xlfn.XMATCH(A145,PURCHASE!$A:$A)),"先入料",SUMPRODUCT((PURCHASE!$A$2:$A$997=MAIN!A145)*PURCHASE!$C$2:$C$997)-SUMPRODUCT((CONSUME!$A$2:$A$992=MAIN!A145)*CONSUME!$C$2:$C$992))</f>
        <v>0</v>
      </c>
      <c r="D145" s="2">
        <f>IF(ISNA(_xlfn.XMATCH(A145,PURCHASE!$A:$A)),"先入料",_xlfn.XLOOKUP(A145,PURCHASE!A:A,PURCHASE!D:D))</f>
        <v>0</v>
      </c>
      <c r="E145" s="4" t="str">
        <f>HYPERLINK("https://www.digikey.tw/product-detail/zh/panasonic-electronic-components/4TPF680MAH/P16590CT-ND/4204413", "4TPF680MAH")</f>
        <v>4TPF680MAH</v>
      </c>
      <c r="F145" s="4" t="str">
        <f>HYPERLINK("https://industrial.panasonic.com/ww/products/capacitors/polymer-capacitors/poscap/models/4TPF680MAH","pdf")</f>
        <v>pdf</v>
      </c>
      <c r="H145" s="10" t="s">
        <v>380</v>
      </c>
      <c r="O145" t="s">
        <v>356</v>
      </c>
    </row>
    <row r="146" spans="1:15" x14ac:dyDescent="0.25">
      <c r="A146" t="s">
        <v>355</v>
      </c>
      <c r="B146" s="2" t="str">
        <f>IF(ISNA(_xlfn.XMATCH(A146,PURCHASE!$A:$A)),"先入料",_xlfn.XLOOKUP(A146,PURCHASE!A:A,PURCHASE!B:B))</f>
        <v>C</v>
      </c>
      <c r="C146" s="2" cm="1">
        <f t="array" ref="C146">IF(ISNA(_xlfn.XMATCH(A146,PURCHASE!$A:$A)),"先入料",SUMPRODUCT((PURCHASE!$A$2:$A$997=MAIN!A146)*PURCHASE!$C$2:$C$997)-SUMPRODUCT((CONSUME!$A$2:$A$992=MAIN!A146)*CONSUME!$C$2:$C$992))</f>
        <v>0</v>
      </c>
      <c r="D146" s="2">
        <f>IF(ISNA(_xlfn.XMATCH(A146,PURCHASE!$A:$A)),"先入料",_xlfn.XLOOKUP(A146,PURCHASE!A:A,PURCHASE!D:D))</f>
        <v>0</v>
      </c>
      <c r="E146" s="4" t="str">
        <f>HYPERLINK("https://www.digikey.tw/product-detail/zh/kemet/T520D477M006ATE015/399-11711-1-ND/5131710", "T520D477M006ATE015")</f>
        <v>T520D477M006ATE015</v>
      </c>
      <c r="F146" s="4" t="str">
        <f>HYPERLINK("https://content.kemet.com/datasheets/KEM_T2076_T52X-530.pdf","pdf")</f>
        <v>pdf</v>
      </c>
      <c r="H146" s="10" t="s">
        <v>380</v>
      </c>
      <c r="O146" t="s">
        <v>357</v>
      </c>
    </row>
    <row r="147" spans="1:15" x14ac:dyDescent="0.25">
      <c r="A147" t="s">
        <v>358</v>
      </c>
      <c r="B147" s="2" t="str">
        <f>IF(ISNA(_xlfn.XMATCH(A147,PURCHASE!$A:$A)),"先入料",_xlfn.XLOOKUP(A147,PURCHASE!A:A,PURCHASE!B:B))</f>
        <v>R</v>
      </c>
      <c r="C147" s="2" cm="1">
        <f t="array" ref="C147">IF(ISNA(_xlfn.XMATCH(A147,PURCHASE!$A:$A)),"先入料",SUMPRODUCT((PURCHASE!$A$2:$A$997=MAIN!A147)*PURCHASE!$C$2:$C$997)-SUMPRODUCT((CONSUME!$A$2:$A$992=MAIN!A147)*CONSUME!$C$2:$C$992))</f>
        <v>0</v>
      </c>
      <c r="D147" s="2">
        <f>IF(ISNA(_xlfn.XMATCH(A147,PURCHASE!$A:$A)),"先入料",_xlfn.XLOOKUP(A147,PURCHASE!A:A,PURCHASE!D:D))</f>
        <v>0</v>
      </c>
      <c r="E147" s="4" t="str">
        <f>HYPERLINK("https://www.digikey.tw/product-detail/zh/yageo/RC0402FR-07215KL/YAG3055CT-ND/5281920","RC0402FR-07215KL")</f>
        <v>RC0402FR-07215KL</v>
      </c>
      <c r="F147" s="4" t="str">
        <f>HYPERLINK("https://www.yageo.com/upload/media/product/productsearch/datasheet/rchip/PYu-RC_Group_51_RoHS_L_11.pdf","pdf")</f>
        <v>pdf</v>
      </c>
      <c r="H147" s="10" t="s">
        <v>380</v>
      </c>
      <c r="O147" t="s">
        <v>359</v>
      </c>
    </row>
    <row r="148" spans="1:15" x14ac:dyDescent="0.25">
      <c r="A148" t="s">
        <v>360</v>
      </c>
      <c r="B148" s="2" t="str">
        <f>IF(ISNA(_xlfn.XMATCH(A148,PURCHASE!$A:$A)),"先入料",_xlfn.XLOOKUP(A148,PURCHASE!A:A,PURCHASE!B:B))</f>
        <v>R</v>
      </c>
      <c r="C148" s="2" cm="1">
        <f t="array" ref="C148">IF(ISNA(_xlfn.XMATCH(A148,PURCHASE!$A:$A)),"先入料",SUMPRODUCT((PURCHASE!$A$2:$A$997=MAIN!A148)*PURCHASE!$C$2:$C$997)-SUMPRODUCT((CONSUME!$A$2:$A$992=MAIN!A148)*CONSUME!$C$2:$C$992))</f>
        <v>0</v>
      </c>
      <c r="D148" s="2">
        <f>IF(ISNA(_xlfn.XMATCH(A148,PURCHASE!$A:$A)),"先入料",_xlfn.XLOOKUP(A148,PURCHASE!A:A,PURCHASE!D:D))</f>
        <v>0</v>
      </c>
      <c r="E148" s="4" t="str">
        <f>HYPERLINK("https://www.digikey.tw/product-detail/zh/yageo/RC0402FR-0760K4L/311-60-4KLRCT-ND/729590","RC0402FR-0760K4L")</f>
        <v>RC0402FR-0760K4L</v>
      </c>
      <c r="F148" s="4" t="str">
        <f>HYPERLINK("https://www.yageo.com/upload/media/product/productsearch/datasheet/rchip/PYu-RC_Group_51_RoHS_L_11.pdf","pdf")</f>
        <v>pdf</v>
      </c>
      <c r="H148" s="10" t="s">
        <v>380</v>
      </c>
      <c r="O148" t="s">
        <v>362</v>
      </c>
    </row>
    <row r="149" spans="1:15" x14ac:dyDescent="0.25">
      <c r="A149" t="s">
        <v>361</v>
      </c>
      <c r="B149" s="2" t="str">
        <f>IF(ISNA(_xlfn.XMATCH(A149,PURCHASE!$A:$A)),"先入料",_xlfn.XLOOKUP(A149,PURCHASE!A:A,PURCHASE!B:B))</f>
        <v>R</v>
      </c>
      <c r="C149" s="2" cm="1">
        <f t="array" ref="C149">IF(ISNA(_xlfn.XMATCH(A149,PURCHASE!$A:$A)),"先入料",SUMPRODUCT((PURCHASE!$A$2:$A$997=MAIN!A149)*PURCHASE!$C$2:$C$997)-SUMPRODUCT((CONSUME!$A$2:$A$992=MAIN!A149)*CONSUME!$C$2:$C$992))</f>
        <v>0</v>
      </c>
      <c r="D149" s="2">
        <f>IF(ISNA(_xlfn.XMATCH(A149,PURCHASE!$A:$A)),"先入料",_xlfn.XLOOKUP(A149,PURCHASE!A:A,PURCHASE!D:D))</f>
        <v>0</v>
      </c>
      <c r="E149" s="4" t="str">
        <f>HYPERLINK("https://www.digikey.tw/product-detail/zh/yageo/RC0402FR-0729K4L/YAG3094CT-ND/5281959","RC0402FR-0729K4L")</f>
        <v>RC0402FR-0729K4L</v>
      </c>
      <c r="F149" s="4" t="str">
        <f>HYPERLINK("https://www.yageo.com/upload/media/product/productsearch/datasheet/rchip/PYu-RC_Group_51_RoHS_L_11.pdf","pdf")</f>
        <v>pdf</v>
      </c>
      <c r="H149" s="10" t="s">
        <v>380</v>
      </c>
      <c r="O149" t="s">
        <v>363</v>
      </c>
    </row>
    <row r="150" spans="1:15" x14ac:dyDescent="0.25">
      <c r="A150" t="s">
        <v>364</v>
      </c>
      <c r="B150" s="2" t="str">
        <f>IF(ISNA(_xlfn.XMATCH(A150,PURCHASE!$A:$A)),"先入料",_xlfn.XLOOKUP(A150,PURCHASE!A:A,PURCHASE!B:B))</f>
        <v>R</v>
      </c>
      <c r="C150" s="2" cm="1">
        <f t="array" ref="C150">IF(ISNA(_xlfn.XMATCH(A150,PURCHASE!$A:$A)),"先入料",SUMPRODUCT((PURCHASE!$A$2:$A$997=MAIN!A150)*PURCHASE!$C$2:$C$997)-SUMPRODUCT((CONSUME!$A$2:$A$992=MAIN!A150)*CONSUME!$C$2:$C$992))</f>
        <v>0</v>
      </c>
      <c r="D150" s="2">
        <f>IF(ISNA(_xlfn.XMATCH(A150,PURCHASE!$A:$A)),"先入料",_xlfn.XLOOKUP(A150,PURCHASE!A:A,PURCHASE!D:D))</f>
        <v>0</v>
      </c>
      <c r="E150" s="4" t="str">
        <f>HYPERLINK("https://www.digikey.tw/product-detail/zh/yageo/RC0402FR-072K21L/311-2-21KLRCT-ND/729501","RC0402FR-072K21L")</f>
        <v>RC0402FR-072K21L</v>
      </c>
      <c r="F150" s="4" t="str">
        <f>HYPERLINK("https://www.yageo.com/upload/media/product/productsearch/datasheet/rchip/PYu-RC_Group_51_RoHS_L_11.pdf","pdf")</f>
        <v>pdf</v>
      </c>
      <c r="H150" s="10" t="s">
        <v>380</v>
      </c>
      <c r="O150" t="s">
        <v>365</v>
      </c>
    </row>
    <row r="151" spans="1:15" x14ac:dyDescent="0.25">
      <c r="A151" t="s">
        <v>367</v>
      </c>
      <c r="B151" s="2" t="str">
        <f>IF(ISNA(_xlfn.XMATCH(A151,PURCHASE!$A:$A)),"先入料",_xlfn.XLOOKUP(A151,PURCHASE!A:A,PURCHASE!B:B))</f>
        <v>CON</v>
      </c>
      <c r="C151" s="2" cm="1">
        <f t="array" ref="C151">IF(ISNA(_xlfn.XMATCH(A151,PURCHASE!$A:$A)),"先入料",SUMPRODUCT((PURCHASE!$A$2:$A$997=MAIN!A151)*PURCHASE!$C$2:$C$997)-SUMPRODUCT((CONSUME!$A$2:$A$992=MAIN!A151)*CONSUME!$C$2:$C$992))</f>
        <v>0</v>
      </c>
      <c r="D151" s="2">
        <f>IF(ISNA(_xlfn.XMATCH(A151,PURCHASE!$A:$A)),"先入料",_xlfn.XLOOKUP(A151,PURCHASE!A:A,PURCHASE!D:D))</f>
        <v>0</v>
      </c>
      <c r="E151" s="4" t="str">
        <f>HYPERLINK("https://www.digikey.tw/product-detail/zh/assmann-wsw-components/AR-08-HZL-TT/AE10011-ND/821765", "AR 08 HZL-TT")</f>
        <v>AR 08 HZL-TT</v>
      </c>
      <c r="F151" s="4" t="str">
        <f>HYPERLINK("http://www.assmann-wsw.com/uploads/datasheets/ASS_4852_CO.pdf","pdf")</f>
        <v>pdf</v>
      </c>
      <c r="H151" s="10" t="s">
        <v>380</v>
      </c>
      <c r="O151" t="s">
        <v>368</v>
      </c>
    </row>
    <row r="152" spans="1:15" x14ac:dyDescent="0.25">
      <c r="A152" t="s">
        <v>369</v>
      </c>
      <c r="B152" s="2" t="str">
        <f>IF(ISNA(_xlfn.XMATCH(A152,PURCHASE!$A:$A)),"先入料",_xlfn.XLOOKUP(A152,PURCHASE!A:A,PURCHASE!B:B))</f>
        <v>CON</v>
      </c>
      <c r="C152" s="2" cm="1">
        <f t="array" ref="C152">IF(ISNA(_xlfn.XMATCH(A152,PURCHASE!$A:$A)),"先入料",SUMPRODUCT((PURCHASE!$A$2:$A$997=MAIN!A152)*PURCHASE!$C$2:$C$997)-SUMPRODUCT((CONSUME!$A$2:$A$992=MAIN!A152)*CONSUME!$C$2:$C$992))</f>
        <v>0</v>
      </c>
      <c r="D152" s="2">
        <f>IF(ISNA(_xlfn.XMATCH(A152,PURCHASE!$A:$A)),"先入料",_xlfn.XLOOKUP(A152,PURCHASE!A:A,PURCHASE!D:D))</f>
        <v>0</v>
      </c>
      <c r="E152" s="4" t="str">
        <f>HYPERLINK("https://www.digikey.tw/product-detail/zh/cnc-tech/3020-20-0200-00/1175-1618-ND/3441740", "3020-20-0200-00")</f>
        <v>3020-20-0200-00</v>
      </c>
      <c r="F152" s="4" t="str">
        <f>HYPERLINK("http://www.cnctech.us/pdfs/3020-XX-0200-00_.pdf","pdf")</f>
        <v>pdf</v>
      </c>
      <c r="H152" s="10" t="s">
        <v>380</v>
      </c>
      <c r="O152" t="s">
        <v>370</v>
      </c>
    </row>
    <row r="153" spans="1:15" x14ac:dyDescent="0.25">
      <c r="A153" t="s">
        <v>371</v>
      </c>
      <c r="B153" s="2" t="str">
        <f>IF(ISNA(_xlfn.XMATCH(A153,PURCHASE!$A:$A)),"先入料",_xlfn.XLOOKUP(A153,PURCHASE!A:A,PURCHASE!B:B))</f>
        <v>LS</v>
      </c>
      <c r="C153" s="2" cm="1">
        <f t="array" ref="C153">IF(ISNA(_xlfn.XMATCH(A153,PURCHASE!$A:$A)),"先入料",SUMPRODUCT((PURCHASE!$A$2:$A$997=MAIN!A153)*PURCHASE!$C$2:$C$997)-SUMPRODUCT((CONSUME!$A$2:$A$992=MAIN!A153)*CONSUME!$C$2:$C$992))</f>
        <v>14</v>
      </c>
      <c r="D153" s="2" t="str">
        <f>IF(ISNA(_xlfn.XMATCH(A153,PURCHASE!$A:$A)),"先入料",_xlfn.XLOOKUP(A153,PURCHASE!A:A,PURCHASE!D:D))</f>
        <v>B1-2</v>
      </c>
      <c r="E153" s="4" t="str">
        <f>HYPERLINK("https://www.digikey.tw/product-detail/zh/texas-instruments/DSLVDS1001DBVT/296-DSLVDS1001DBVTCT-ND/12319613", "DSLVDS1001DBVT")</f>
        <v>DSLVDS1001DBVT</v>
      </c>
      <c r="F153" s="4" t="str">
        <f>HYPERLINK("https://polarisphotonics-my.sharepoint.com/personal/bw_shiau_polarisphotonics_com/Documents/papers/IC/LevelShifter/DSLVDS1001DBVT .pdf","pdf")</f>
        <v>pdf</v>
      </c>
      <c r="H153" s="10" t="s">
        <v>380</v>
      </c>
      <c r="J153" s="13">
        <v>2</v>
      </c>
      <c r="O153" t="s">
        <v>373</v>
      </c>
    </row>
    <row r="154" spans="1:15" x14ac:dyDescent="0.25">
      <c r="A154" t="s">
        <v>376</v>
      </c>
      <c r="B154" s="2" t="str">
        <f>IF(ISNA(_xlfn.XMATCH(A154,PURCHASE!$A:$A)),"先入料",_xlfn.XLOOKUP(A154,PURCHASE!A:A,PURCHASE!B:B))</f>
        <v>R</v>
      </c>
      <c r="C154" s="2" cm="1">
        <f t="array" ref="C154">IF(ISNA(_xlfn.XMATCH(A154,PURCHASE!$A:$A)),"先入料",SUMPRODUCT((PURCHASE!$A$2:$A$997=MAIN!A154)*PURCHASE!$C$2:$C$997)-SUMPRODUCT((CONSUME!$A$2:$A$992=MAIN!A154)*CONSUME!$C$2:$C$992))</f>
        <v>0</v>
      </c>
      <c r="D154" s="2">
        <f>IF(ISNA(_xlfn.XMATCH(A154,PURCHASE!$A:$A)),"先入料",_xlfn.XLOOKUP(A154,PURCHASE!A:A,PURCHASE!D:D))</f>
        <v>0</v>
      </c>
      <c r="E154" s="4" t="str">
        <f>HYPERLINK("https://www.digikey.tw/product-detail/zh/yageo/RC0402FR-0724R9L/311-24-9LRCT-ND/729515","RC0402FR-0724R9L")</f>
        <v>RC0402FR-0724R9L</v>
      </c>
      <c r="F154" s="4" t="str">
        <f>HYPERLINK("https://www.yageo.com/upload/media/product/productsearch/datasheet/rchip/PYu-RC_Group_51_RoHS_L_11.pdf","pdf")</f>
        <v>pdf</v>
      </c>
      <c r="H154" s="10" t="s">
        <v>380</v>
      </c>
      <c r="J154" s="13">
        <v>1</v>
      </c>
      <c r="O154" t="s">
        <v>378</v>
      </c>
    </row>
    <row r="155" spans="1:15" x14ac:dyDescent="0.25">
      <c r="A155" t="s">
        <v>377</v>
      </c>
      <c r="B155" s="2" t="str">
        <f>IF(ISNA(_xlfn.XMATCH(A155,PURCHASE!$A:$A)),"先入料",_xlfn.XLOOKUP(A155,PURCHASE!A:A,PURCHASE!B:B))</f>
        <v>R</v>
      </c>
      <c r="C155" s="2" cm="1">
        <f t="array" ref="C155">IF(ISNA(_xlfn.XMATCH(A155,PURCHASE!$A:$A)),"先入料",SUMPRODUCT((PURCHASE!$A$2:$A$997=MAIN!A155)*PURCHASE!$C$2:$C$997)-SUMPRODUCT((CONSUME!$A$2:$A$992=MAIN!A155)*CONSUME!$C$2:$C$992))</f>
        <v>0</v>
      </c>
      <c r="D155" s="2">
        <f>IF(ISNA(_xlfn.XMATCH(A155,PURCHASE!$A:$A)),"先入料",_xlfn.XLOOKUP(A155,PURCHASE!A:A,PURCHASE!D:D))</f>
        <v>0</v>
      </c>
      <c r="E155" s="4" t="str">
        <f>HYPERLINK("https://www.digikey.tw/product-detail/zh/yageo/SR0402FR-7T4K7L/YAG5819CT-ND/9373204","SR0402FR-7T4K7L")</f>
        <v>SR0402FR-7T4K7L</v>
      </c>
      <c r="F155" s="4" t="str">
        <f>HYPERLINK("https://www.yageo.com/upload/media/product/productsearch/datasheet/rchip/PYu-RC_Group_51_RoHS_L_11.pdf","pdf")</f>
        <v>pdf</v>
      </c>
      <c r="H155" s="10" t="s">
        <v>380</v>
      </c>
      <c r="J155" s="13">
        <v>2</v>
      </c>
      <c r="O155" t="s">
        <v>379</v>
      </c>
    </row>
    <row r="156" spans="1:15" x14ac:dyDescent="0.25">
      <c r="A156" t="s">
        <v>383</v>
      </c>
      <c r="B156" s="2" t="str">
        <f>IF(ISNA(_xlfn.XMATCH(A156,PURCHASE!$A:$A)),"先入料",_xlfn.XLOOKUP(A156,PURCHASE!A:A,PURCHASE!B:B))</f>
        <v>LDO</v>
      </c>
      <c r="C156" s="2" cm="1">
        <f t="array" ref="C156">IF(ISNA(_xlfn.XMATCH(A156,PURCHASE!$A:$A)),"先入料",SUMPRODUCT((PURCHASE!$A$2:$A$997=MAIN!A156)*PURCHASE!$C$2:$C$997)-SUMPRODUCT((CONSUME!$A$2:$A$992=MAIN!A156)*CONSUME!$C$2:$C$992))</f>
        <v>3</v>
      </c>
      <c r="D156" s="2" t="str">
        <f>IF(ISNA(_xlfn.XMATCH(A156,PURCHASE!$A:$A)),"先入料",_xlfn.XLOOKUP(A156,PURCHASE!A:A,PURCHASE!D:D))</f>
        <v>D6-2</v>
      </c>
      <c r="E156" s="4" t="str">
        <f>HYPERLINK("https://www.digikey.tw/product-detail/zh/analog-devices-inc/LT3091EDE-PBF/LT3091EDE-PBF-ND/5431693", "LT3091EDE#PBF")</f>
        <v>LT3091EDE#PBF</v>
      </c>
      <c r="F156" s="4" t="str">
        <f>HYPERLINK("https://polarisphotonics-my.sharepoint.com/personal/bw_shiau_polarisphotonics_com/Documents/papers/IC/LDO/LT3091.pdf","pdf")</f>
        <v>pdf</v>
      </c>
      <c r="H156" s="10" t="s">
        <v>462</v>
      </c>
      <c r="K156" s="13">
        <v>1</v>
      </c>
      <c r="O156" t="s">
        <v>384</v>
      </c>
    </row>
    <row r="157" spans="1:15" x14ac:dyDescent="0.25">
      <c r="A157" t="s">
        <v>385</v>
      </c>
      <c r="B157" s="2" t="str">
        <f>IF(ISNA(_xlfn.XMATCH(A157,PURCHASE!$A:$A)),"先入料",_xlfn.XLOOKUP(A157,PURCHASE!A:A,PURCHASE!B:B))</f>
        <v>R</v>
      </c>
      <c r="C157" s="2" cm="1">
        <f t="array" ref="C157">IF(ISNA(_xlfn.XMATCH(A157,PURCHASE!$A:$A)),"先入料",SUMPRODUCT((PURCHASE!$A$2:$A$997=MAIN!A157)*PURCHASE!$C$2:$C$997)-SUMPRODUCT((CONSUME!$A$2:$A$992=MAIN!A157)*CONSUME!$C$2:$C$992))</f>
        <v>0</v>
      </c>
      <c r="D157" s="2">
        <f>IF(ISNA(_xlfn.XMATCH(A157,PURCHASE!$A:$A)),"先入料",_xlfn.XLOOKUP(A157,PURCHASE!A:A,PURCHASE!D:D))</f>
        <v>0</v>
      </c>
      <c r="E157" s="4" t="str">
        <f>HYPERLINK("https://www.digikey.tw/product-detail/zh/vishay-dale/CRCW08054K00FKTA/541-CRCW08054K00FKTACT-ND/11500922","CRCW08054K00FKTA")</f>
        <v>CRCW08054K00FKTA</v>
      </c>
      <c r="F157" s="4" t="str">
        <f>HYPERLINK("https://www.vishay.com/docs/20008/dcrcw.pdf","pdf")</f>
        <v>pdf</v>
      </c>
      <c r="H157" s="10" t="s">
        <v>462</v>
      </c>
      <c r="K157" s="13">
        <v>1</v>
      </c>
      <c r="O157" t="s">
        <v>386</v>
      </c>
    </row>
    <row r="158" spans="1:15" x14ac:dyDescent="0.25">
      <c r="A158" t="s">
        <v>387</v>
      </c>
      <c r="B158" s="2" t="str">
        <f>IF(ISNA(_xlfn.XMATCH(A158,PURCHASE!$A:$A)),"先入料",_xlfn.XLOOKUP(A158,PURCHASE!A:A,PURCHASE!B:B))</f>
        <v>FPGA</v>
      </c>
      <c r="C158" s="2" cm="1">
        <f t="array" ref="C158">IF(ISNA(_xlfn.XMATCH(A158,PURCHASE!$A:$A)),"先入料",SUMPRODUCT((PURCHASE!$A$2:$A$997=MAIN!A158)*PURCHASE!$C$2:$C$997)-SUMPRODUCT((CONSUME!$A$2:$A$992=MAIN!A158)*CONSUME!$C$2:$C$992))</f>
        <v>2</v>
      </c>
      <c r="D158" s="2" t="str">
        <f>IF(ISNA(_xlfn.XMATCH(A158,PURCHASE!$A:$A)),"先入料",_xlfn.XLOOKUP(A158,PURCHASE!A:A,PURCHASE!D:D))</f>
        <v>A1-2</v>
      </c>
      <c r="E158" s="4" t="str">
        <f>HYPERLINK("https://www.digikey.tw/product-detail/zh/intel/EP4CE22F17I7N/544-2834-ND/2288349", "EP4CE22F17I7N")</f>
        <v>EP4CE22F17I7N</v>
      </c>
      <c r="F158" s="4" t="str">
        <f>HYPERLINK("https://polarisphotonics-my.sharepoint.com/personal/bw_shiau_polarisphotonics_com/Documents/papers/IC/FPGA/BGA-256.pdf","pdf")</f>
        <v>pdf</v>
      </c>
      <c r="H158" s="10" t="s">
        <v>380</v>
      </c>
      <c r="O158" t="s">
        <v>388</v>
      </c>
    </row>
    <row r="159" spans="1:15" x14ac:dyDescent="0.25">
      <c r="A159" t="s">
        <v>389</v>
      </c>
      <c r="B159" s="2" t="str">
        <f>IF(ISNA(_xlfn.XMATCH(A159,PURCHASE!$A:$A)),"先入料",_xlfn.XLOOKUP(A159,PURCHASE!A:A,PURCHASE!B:B))</f>
        <v>MEM</v>
      </c>
      <c r="C159" s="2" cm="1">
        <f t="array" ref="C159">IF(ISNA(_xlfn.XMATCH(A159,PURCHASE!$A:$A)),"先入料",SUMPRODUCT((PURCHASE!$A$2:$A$997=MAIN!A159)*PURCHASE!$C$2:$C$997)-SUMPRODUCT((CONSUME!$A$2:$A$992=MAIN!A159)*CONSUME!$C$2:$C$992))</f>
        <v>5</v>
      </c>
      <c r="D159" s="2" t="str">
        <f>IF(ISNA(_xlfn.XMATCH(A159,PURCHASE!$A:$A)),"先入料",_xlfn.XLOOKUP(A159,PURCHASE!A:A,PURCHASE!D:D))</f>
        <v>A2-1</v>
      </c>
      <c r="E159" s="4" t="str">
        <f>HYPERLINK("https://reurl.cc/R0K4jZ", "MT48LC8M16A2B4-6A AAT:L")</f>
        <v>MT48LC8M16A2B4-6A AAT:L</v>
      </c>
      <c r="F159" s="4" t="str">
        <f>HYPERLINK("https://polarisphotonics-my.sharepoint.com/personal/bw_shiau_polarisphotonics_com/Documents/papers/IC/MEM/sdram_Micron_2M_16bits_4bk.pdf","pdf")</f>
        <v>pdf</v>
      </c>
      <c r="G159" s="4"/>
      <c r="H159" s="10" t="s">
        <v>380</v>
      </c>
      <c r="J159" s="13">
        <v>1</v>
      </c>
      <c r="O159" t="s">
        <v>427</v>
      </c>
    </row>
    <row r="160" spans="1:15" x14ac:dyDescent="0.25">
      <c r="A160" t="s">
        <v>390</v>
      </c>
      <c r="B160" s="2" t="str">
        <f>IF(ISNA(_xlfn.XMATCH(A160,PURCHASE!$A:$A)),"先入料",_xlfn.XLOOKUP(A160,PURCHASE!A:A,PURCHASE!B:B))</f>
        <v>MEM</v>
      </c>
      <c r="C160" s="2" cm="1">
        <f t="array" ref="C160">IF(ISNA(_xlfn.XMATCH(A160,PURCHASE!$A:$A)),"先入料",SUMPRODUCT((PURCHASE!$A$2:$A$997=MAIN!A160)*PURCHASE!$C$2:$C$997)-SUMPRODUCT((CONSUME!$A$2:$A$992=MAIN!A160)*CONSUME!$C$2:$C$992))</f>
        <v>2</v>
      </c>
      <c r="D160" s="2" t="str">
        <f>IF(ISNA(_xlfn.XMATCH(A160,PURCHASE!$A:$A)),"先入料",_xlfn.XLOOKUP(A160,PURCHASE!A:A,PURCHASE!D:D))</f>
        <v>A3-1</v>
      </c>
      <c r="E160" s="4" t="str">
        <f>HYPERLINK("https://www.digikey.tw/products/zh?keywords=EPCQ16ASI8N", "EPCQ16ASI8N")</f>
        <v>EPCQ16ASI8N</v>
      </c>
      <c r="F160" s="4" t="str">
        <f>HYPERLINK("https://polarisphotonics-my.sharepoint.com/personal/bw_shiau_polarisphotonics_com/Documents/papers/IC/MEM/epcq.pdf","pdf")</f>
        <v>pdf</v>
      </c>
      <c r="G160" s="4" t="str">
        <f>HYPERLINK("https://polarisphotonics-my.sharepoint.com/personal/bw_shiau_polarisphotonics_com/Documents/papers/IC/MEM/epcq_SO8_pkg.pdf","pkg")</f>
        <v>pkg</v>
      </c>
      <c r="H160" s="10" t="s">
        <v>380</v>
      </c>
      <c r="J160" s="13">
        <v>1</v>
      </c>
      <c r="O160" t="s">
        <v>391</v>
      </c>
    </row>
    <row r="161" spans="1:15" x14ac:dyDescent="0.25">
      <c r="A161" t="s">
        <v>392</v>
      </c>
      <c r="B161" s="2" t="str">
        <f>IF(ISNA(_xlfn.XMATCH(A161,PURCHASE!$A:$A)),"先入料",_xlfn.XLOOKUP(A161,PURCHASE!A:A,PURCHASE!B:B))</f>
        <v>MEM</v>
      </c>
      <c r="C161" s="2" cm="1">
        <f t="array" ref="C161">IF(ISNA(_xlfn.XMATCH(A161,PURCHASE!$A:$A)),"先入料",SUMPRODUCT((PURCHASE!$A$2:$A$997=MAIN!A161)*PURCHASE!$C$2:$C$997)-SUMPRODUCT((CONSUME!$A$2:$A$992=MAIN!A161)*CONSUME!$C$2:$C$992))</f>
        <v>0</v>
      </c>
      <c r="D161" s="2">
        <f>IF(ISNA(_xlfn.XMATCH(A161,PURCHASE!$A:$A)),"先入料",_xlfn.XLOOKUP(A161,PURCHASE!A:A,PURCHASE!D:D))</f>
        <v>0</v>
      </c>
      <c r="E161" s="4" t="str">
        <f>HYPERLINK("https://www.digikey.tw/product-detail/zh/alliance-memory-inc/N25Q032A13ESC40F/1450-N25Q032A13ESC40FDKR-ND/12810055", "N25Q032A13ESC40F")</f>
        <v>N25Q032A13ESC40F</v>
      </c>
      <c r="F161" s="4" t="str">
        <f>HYPERLINK("https://polarisphotonics-my.sharepoint.com/personal/bw_shiau_polarisphotonics_com/Documents/papers/IC/MEM/Micron_Datasheet_N25Q032A_RevJ.pdf","pdf")</f>
        <v>pdf</v>
      </c>
      <c r="H161" s="10" t="s">
        <v>380</v>
      </c>
      <c r="O161" t="s">
        <v>436</v>
      </c>
    </row>
    <row r="162" spans="1:15" x14ac:dyDescent="0.25">
      <c r="A162" t="s">
        <v>594</v>
      </c>
      <c r="B162" s="2" t="str">
        <f>IF(ISNA(_xlfn.XMATCH(A162,PURCHASE!$A:$A)),"先入料",_xlfn.XLOOKUP(A162,PURCHASE!A:A,PURCHASE!B:B))</f>
        <v>C</v>
      </c>
      <c r="C162" s="2" cm="1">
        <f t="array" ref="C162">IF(ISNA(_xlfn.XMATCH(A162,PURCHASE!$A:$A)),"先入料",SUMPRODUCT((PURCHASE!$A$2:$A$997=MAIN!A162)*PURCHASE!$C$2:$C$997)-SUMPRODUCT((CONSUME!$A$2:$A$992=MAIN!A162)*CONSUME!$C$2:$C$992))</f>
        <v>6</v>
      </c>
      <c r="D162" s="2" t="str">
        <f>IF(ISNA(_xlfn.XMATCH(A162,PURCHASE!$A:$A)),"先入料",_xlfn.XLOOKUP(A162,PURCHASE!A:A,PURCHASE!D:D))</f>
        <v>C1-1</v>
      </c>
      <c r="E162" s="4" t="str">
        <f>HYPERLINK("https://www.digikey.tw/products/zh?keywords=478-9826-1-ND", "TCN4477M016R0100")</f>
        <v>TCN4477M016R0100</v>
      </c>
      <c r="F162" s="4" t="str">
        <f>HYPERLINK("https://datasheets.avx.com/TCN_Undertab.pdf","pdf")</f>
        <v>pdf</v>
      </c>
      <c r="H162" s="10" t="s">
        <v>380</v>
      </c>
      <c r="O162" t="s">
        <v>282</v>
      </c>
    </row>
    <row r="163" spans="1:15" x14ac:dyDescent="0.25">
      <c r="A163" t="s">
        <v>428</v>
      </c>
      <c r="B163" s="2" t="str">
        <f>IF(ISNA(_xlfn.XMATCH(A163,PURCHASE!$A:$A)),"先入料",_xlfn.XLOOKUP(A163,PURCHASE!A:A,PURCHASE!B:B))</f>
        <v>R</v>
      </c>
      <c r="C163" s="2" cm="1">
        <f t="array" ref="C163">IF(ISNA(_xlfn.XMATCH(A163,PURCHASE!$A:$A)),"先入料",SUMPRODUCT((PURCHASE!$A$2:$A$997=MAIN!A163)*PURCHASE!$C$2:$C$997)-SUMPRODUCT((CONSUME!$A$2:$A$992=MAIN!A163)*CONSUME!$C$2:$C$992))</f>
        <v>0</v>
      </c>
      <c r="D163" s="2">
        <f>IF(ISNA(_xlfn.XMATCH(A163,PURCHASE!$A:$A)),"先入料",_xlfn.XLOOKUP(A163,PURCHASE!A:A,PURCHASE!D:D))</f>
        <v>0</v>
      </c>
      <c r="E163" s="4" t="str">
        <f>HYPERLINK("https://www.digikey.tw/product-detail/zh/yageo/RC0402JR-070RL/311-0-0JRCT-ND/729353", "RC0402JR-070RL")</f>
        <v>RC0402JR-070RL</v>
      </c>
      <c r="F163" s="4" t="str">
        <f>HYPERLINK("https://www.yageo.com/upload/media/product/productsearch/datasheet/rchip/PYu-RC_Group_51_RoHS_L_11.pdf","pdf")</f>
        <v>pdf</v>
      </c>
      <c r="H163" s="10" t="s">
        <v>380</v>
      </c>
      <c r="J163" s="13">
        <v>5</v>
      </c>
      <c r="O163" t="s">
        <v>429</v>
      </c>
    </row>
    <row r="164" spans="1:15" x14ac:dyDescent="0.25">
      <c r="A164" t="s">
        <v>423</v>
      </c>
      <c r="B164" s="2" t="str">
        <f>IF(ISNA(_xlfn.XMATCH(A164,PURCHASE!$A:$A)),"先入料",_xlfn.XLOOKUP(A164,PURCHASE!A:A,PURCHASE!B:B))</f>
        <v>XTAL</v>
      </c>
      <c r="C164" s="2" cm="1">
        <f t="array" ref="C164">IF(ISNA(_xlfn.XMATCH(A164,PURCHASE!$A:$A)),"先入料",SUMPRODUCT((PURCHASE!$A$2:$A$997=MAIN!A164)*PURCHASE!$C$2:$C$997)-SUMPRODUCT((CONSUME!$A$2:$A$992=MAIN!A164)*CONSUME!$C$2:$C$992))</f>
        <v>0</v>
      </c>
      <c r="D164" s="2" t="str">
        <f>IF(ISNA(_xlfn.XMATCH(A164,PURCHASE!$A:$A)),"先入料",_xlfn.XLOOKUP(A164,PURCHASE!A:A,PURCHASE!D:D))</f>
        <v>D3-2</v>
      </c>
      <c r="E164" s="4" t="str">
        <f>HYPERLINK("https://www.digikey.tw/product-detail/zh/microchip-technology/DSC1121CI2-125-0000/576-5018-5-ND/5046633", "DSC1121CI2-125.0000")</f>
        <v>DSC1121CI2-125.0000</v>
      </c>
      <c r="F164" s="4" t="str">
        <f>HYPERLINK("https://rocelec.widen.net/view/pdf/numapiwcbe/MCHP-S-A0003695894-1.pdf?t.download=true&amp;u=5oefqw","pdf")</f>
        <v>pdf</v>
      </c>
      <c r="H164" s="10" t="s">
        <v>380</v>
      </c>
      <c r="J164" s="13">
        <v>0</v>
      </c>
      <c r="O164" t="s">
        <v>424</v>
      </c>
    </row>
    <row r="165" spans="1:15" x14ac:dyDescent="0.25">
      <c r="A165" t="s">
        <v>431</v>
      </c>
      <c r="B165" s="2" t="str">
        <f>IF(ISNA(_xlfn.XMATCH(A165,PURCHASE!$A:$A)),"先入料",_xlfn.XLOOKUP(A165,PURCHASE!A:A,PURCHASE!B:B))</f>
        <v>MEM</v>
      </c>
      <c r="C165" s="2" cm="1">
        <f t="array" ref="C165">IF(ISNA(_xlfn.XMATCH(A165,PURCHASE!$A:$A)),"先入料",SUMPRODUCT((PURCHASE!$A$2:$A$997=MAIN!A165)*PURCHASE!$C$2:$C$997)-SUMPRODUCT((CONSUME!$A$2:$A$992=MAIN!A165)*CONSUME!$C$2:$C$992))</f>
        <v>0</v>
      </c>
      <c r="D165" s="2">
        <f>IF(ISNA(_xlfn.XMATCH(A165,PURCHASE!$A:$A)),"先入料",_xlfn.XLOOKUP(A165,PURCHASE!A:A,PURCHASE!D:D))</f>
        <v>0</v>
      </c>
      <c r="E165" s="4" t="str">
        <f>HYPERLINK("https://www.digikey.tw/product-detail/zh/alliance-memory-inc/AS4C4M16SA-6BAN/1450-1256-ND/5214132", "AS4C4M16SA-6BAN")</f>
        <v>AS4C4M16SA-6BAN</v>
      </c>
      <c r="F165" s="4" t="str">
        <f>HYPERLINK("https://polarisphotonics-my.sharepoint.com/personal/bw_shiau_polarisphotonics_com/Documents/papers/IC/MEM/sdram_Alliance_64Mb_BGA-54.pdf","pdf")</f>
        <v>pdf</v>
      </c>
      <c r="O165" t="s">
        <v>433</v>
      </c>
    </row>
    <row r="166" spans="1:15" x14ac:dyDescent="0.25">
      <c r="A166" t="s">
        <v>430</v>
      </c>
      <c r="B166" s="2" t="str">
        <f>IF(ISNA(_xlfn.XMATCH(A166,PURCHASE!$A:$A)),"先入料",_xlfn.XLOOKUP(A166,PURCHASE!A:A,PURCHASE!B:B))</f>
        <v>MEM</v>
      </c>
      <c r="C166" s="2" cm="1">
        <f t="array" ref="C166">IF(ISNA(_xlfn.XMATCH(A166,PURCHASE!$A:$A)),"先入料",SUMPRODUCT((PURCHASE!$A$2:$A$997=MAIN!A166)*PURCHASE!$C$2:$C$997)-SUMPRODUCT((CONSUME!$A$2:$A$992=MAIN!A166)*CONSUME!$C$2:$C$992))</f>
        <v>10</v>
      </c>
      <c r="D166" s="2" t="str">
        <f>IF(ISNA(_xlfn.XMATCH(A166,PURCHASE!$A:$A)),"先入料",_xlfn.XLOOKUP(A166,PURCHASE!A:A,PURCHASE!D:D))</f>
        <v>A2-1</v>
      </c>
      <c r="E166" s="4" t="str">
        <f>HYPERLINK("https://www.digikey.tw/product-detail/zh/alliance-memory-inc/AS4C8M16SA-6BAN/1450-1263-ND/5214139", "AS4C8M16SA-6BAN")</f>
        <v>AS4C8M16SA-6BAN</v>
      </c>
      <c r="F166" s="4" t="str">
        <f>HYPERLINK("https://polarisphotonics-my.sharepoint.com/personal/bw_shiau_polarisphotonics_com/Documents/papers/IC/MEM/sdram_Alliance_128Mb_BGA-54.pdf","pdf")</f>
        <v>pdf</v>
      </c>
      <c r="O166" t="s">
        <v>434</v>
      </c>
    </row>
    <row r="167" spans="1:15" x14ac:dyDescent="0.25">
      <c r="A167" t="s">
        <v>432</v>
      </c>
      <c r="B167" s="2" t="str">
        <f>IF(ISNA(_xlfn.XMATCH(A167,PURCHASE!$A:$A)),"先入料",_xlfn.XLOOKUP(A167,PURCHASE!A:A,PURCHASE!B:B))</f>
        <v>MEM</v>
      </c>
      <c r="C167" s="2" cm="1">
        <f t="array" ref="C167">IF(ISNA(_xlfn.XMATCH(A167,PURCHASE!$A:$A)),"先入料",SUMPRODUCT((PURCHASE!$A$2:$A$997=MAIN!A167)*PURCHASE!$C$2:$C$997)-SUMPRODUCT((CONSUME!$A$2:$A$992=MAIN!A167)*CONSUME!$C$2:$C$992))</f>
        <v>0</v>
      </c>
      <c r="D167" s="2">
        <f>IF(ISNA(_xlfn.XMATCH(A167,PURCHASE!$A:$A)),"先入料",_xlfn.XLOOKUP(A167,PURCHASE!A:A,PURCHASE!D:D))</f>
        <v>0</v>
      </c>
      <c r="E167" s="4" t="str">
        <f>HYPERLINK("https://www.digikey.tw/product-detail/zh/alliance-memory-inc/AS4C16M16SA-6BAN/1450-1249-ND/5214125", "AS4C16M16SA-6BAN")</f>
        <v>AS4C16M16SA-6BAN</v>
      </c>
      <c r="F167" s="4" t="str">
        <f>HYPERLINK("https://polarisphotonics-my.sharepoint.com/personal/bw_shiau_polarisphotonics_com/Documents/papers/IC/MEM/sdram_Alliance_256Mb_BGA-54.pdf","pdf")</f>
        <v>pdf</v>
      </c>
      <c r="O167" t="s">
        <v>435</v>
      </c>
    </row>
    <row r="168" spans="1:15" x14ac:dyDescent="0.25">
      <c r="A168" t="s">
        <v>437</v>
      </c>
      <c r="B168" s="2" t="str">
        <f>IF(ISNA(_xlfn.XMATCH(A168,PURCHASE!$A:$A)),"先入料",_xlfn.XLOOKUP(A168,PURCHASE!A:A,PURCHASE!B:B))</f>
        <v>LDO</v>
      </c>
      <c r="C168" s="2" cm="1">
        <f t="array" ref="C168">IF(ISNA(_xlfn.XMATCH(A168,PURCHASE!$A:$A)),"先入料",SUMPRODUCT((PURCHASE!$A$2:$A$997=MAIN!A168)*PURCHASE!$C$2:$C$997)-SUMPRODUCT((CONSUME!$A$2:$A$992=MAIN!A168)*CONSUME!$C$2:$C$992))</f>
        <v>3</v>
      </c>
      <c r="D168" s="2" t="str">
        <f>IF(ISNA(_xlfn.XMATCH(A168,PURCHASE!$A:$A)),"先入料",_xlfn.XLOOKUP(A168,PURCHASE!A:A,PURCHASE!D:D))</f>
        <v>D7-1</v>
      </c>
      <c r="E168" s="4" t="str">
        <f>HYPERLINK("https://www.digikey.tw/product-detail/zh/onsemi/NCV8187AMLE330TCG/488-NCV8187AMLE330TCGCT-ND/14005377", "NCV8187AMLE330TCG")</f>
        <v>NCV8187AMLE330TCG</v>
      </c>
      <c r="F168" s="4" t="str">
        <f>HYPERLINK("https://polarisphotonics-my.sharepoint.com/personal/bw_shiau_polarisphotonics_com/Documents/papers/IC/LDO/NCV8187_D-2317759.pdf","pdf")</f>
        <v>pdf</v>
      </c>
      <c r="H168" s="10" t="s">
        <v>462</v>
      </c>
      <c r="K168" s="13">
        <v>1</v>
      </c>
      <c r="O168" t="s">
        <v>438</v>
      </c>
    </row>
    <row r="169" spans="1:15" x14ac:dyDescent="0.25">
      <c r="A169" t="s">
        <v>439</v>
      </c>
      <c r="B169" s="2" t="str">
        <f>IF(ISNA(_xlfn.XMATCH(A169,PURCHASE!$A:$A)),"先入料",_xlfn.XLOOKUP(A169,PURCHASE!A:A,PURCHASE!B:B))</f>
        <v>OP</v>
      </c>
      <c r="C169" s="2" cm="1">
        <f t="array" ref="C169">IF(ISNA(_xlfn.XMATCH(A169,PURCHASE!$A:$A)),"先入料",SUMPRODUCT((PURCHASE!$A$2:$A$997=MAIN!A169)*PURCHASE!$C$2:$C$997)-SUMPRODUCT((CONSUME!$A$2:$A$992=MAIN!A169)*CONSUME!$C$2:$C$992))</f>
        <v>10</v>
      </c>
      <c r="D169" s="2" t="str">
        <f>IF(ISNA(_xlfn.XMATCH(A169,PURCHASE!$A:$A)),"先入料",_xlfn.XLOOKUP(A169,PURCHASE!A:A,PURCHASE!D:D))</f>
        <v>A6-1</v>
      </c>
      <c r="E169" s="4" t="str">
        <f>HYPERLINK("https://www.digikey.tw/product-detail/zh/analog-devices-inc/AD8529ARZ/AD8529ARZ-ND/751171", "AD8529ARZ")</f>
        <v>AD8529ARZ</v>
      </c>
      <c r="F169" s="4" t="str">
        <f>HYPERLINK("https://polarisphotonics-my.sharepoint.com/personal/bw_shiau_polarisphotonics_com/Documents/papers/IC/OP/AD8529.pdf","pdf")</f>
        <v>pdf</v>
      </c>
      <c r="H169" s="10" t="s">
        <v>466</v>
      </c>
      <c r="J169" s="13">
        <v>0</v>
      </c>
      <c r="K169" s="13">
        <v>0</v>
      </c>
      <c r="O169" t="s">
        <v>472</v>
      </c>
    </row>
    <row r="170" spans="1:15" x14ac:dyDescent="0.25">
      <c r="A170" t="s">
        <v>440</v>
      </c>
      <c r="B170" s="2" t="str">
        <f>IF(ISNA(_xlfn.XMATCH(A170,PURCHASE!$A:$A)),"先入料",_xlfn.XLOOKUP(A170,PURCHASE!A:A,PURCHASE!B:B))</f>
        <v>OP</v>
      </c>
      <c r="C170" s="2" cm="1">
        <f t="array" ref="C170">IF(ISNA(_xlfn.XMATCH(A170,PURCHASE!$A:$A)),"先入料",SUMPRODUCT((PURCHASE!$A$2:$A$997=MAIN!A170)*PURCHASE!$C$2:$C$997)-SUMPRODUCT((CONSUME!$A$2:$A$992=MAIN!A170)*CONSUME!$C$2:$C$992))</f>
        <v>0</v>
      </c>
      <c r="D170" s="2">
        <f>IF(ISNA(_xlfn.XMATCH(A170,PURCHASE!$A:$A)),"先入料",_xlfn.XLOOKUP(A170,PURCHASE!A:A,PURCHASE!D:D))</f>
        <v>0</v>
      </c>
      <c r="E170" s="4" t="str">
        <f>HYPERLINK("https://www.digikey.tw/product-detail/zh/analog-devices-inc/ADA4940-1ACPZ-R7/ADA4940-1ACPZ-R7CT-ND/2793275", "ADA4940-1ACPZ-R7")</f>
        <v>ADA4940-1ACPZ-R7</v>
      </c>
      <c r="F170" s="4" t="str">
        <f>HYPERLINK("https://polarisphotonics-my.sharepoint.com/personal/bw_shiau_polarisphotonics_com/Documents/papers/IC/OP/ADA4940-1_4940-2.pdf","pdf")</f>
        <v>pdf</v>
      </c>
      <c r="H170" s="10" t="s">
        <v>380</v>
      </c>
      <c r="J170" s="13">
        <v>0</v>
      </c>
      <c r="O170" t="s">
        <v>441</v>
      </c>
    </row>
    <row r="171" spans="1:15" x14ac:dyDescent="0.25">
      <c r="A171" t="s">
        <v>442</v>
      </c>
      <c r="B171" s="2" t="str">
        <f>IF(ISNA(_xlfn.XMATCH(A171,PURCHASE!$A:$A)),"先入料",_xlfn.XLOOKUP(A171,PURCHASE!A:A,PURCHASE!B:B))</f>
        <v>LDO</v>
      </c>
      <c r="C171" s="2" cm="1">
        <f t="array" ref="C171">IF(ISNA(_xlfn.XMATCH(A171,PURCHASE!$A:$A)),"先入料",SUMPRODUCT((PURCHASE!$A$2:$A$997=MAIN!A171)*PURCHASE!$C$2:$C$997)-SUMPRODUCT((CONSUME!$A$2:$A$992=MAIN!A171)*CONSUME!$C$2:$C$992))</f>
        <v>3</v>
      </c>
      <c r="D171" s="2" t="str">
        <f>IF(ISNA(_xlfn.XMATCH(A171,PURCHASE!$A:$A)),"先入料",_xlfn.XLOOKUP(A171,PURCHASE!A:A,PURCHASE!D:D))</f>
        <v>D7-2</v>
      </c>
      <c r="E171" s="4" t="str">
        <f>HYPERLINK("https://www.digikey.tw/zh/products/detail/onsemi/NCV8187AMLE180TCG/14005279", "NCV8187AMLE180TCG")</f>
        <v>NCV8187AMLE180TCG</v>
      </c>
      <c r="F171" s="4" t="str">
        <f>HYPERLINK("https://polarisphotonics-my.sharepoint.com/personal/bw_shiau_polarisphotonics_com/Documents/papers/IC/LDO/NCV8187_D-2317759.pdf","pdf")</f>
        <v>pdf</v>
      </c>
      <c r="H171" s="10" t="s">
        <v>462</v>
      </c>
      <c r="K171" s="13">
        <v>1</v>
      </c>
      <c r="O171" t="s">
        <v>438</v>
      </c>
    </row>
    <row r="172" spans="1:15" x14ac:dyDescent="0.25">
      <c r="A172" t="s">
        <v>443</v>
      </c>
      <c r="B172" s="2" t="str">
        <f>IF(ISNA(_xlfn.XMATCH(A172,PURCHASE!$A:$A)),"先入料",_xlfn.XLOOKUP(A172,PURCHASE!A:A,PURCHASE!B:B))</f>
        <v>OP</v>
      </c>
      <c r="C172" s="2" cm="1">
        <f t="array" ref="C172">IF(ISNA(_xlfn.XMATCH(A172,PURCHASE!$A:$A)),"先入料",SUMPRODUCT((PURCHASE!$A$2:$A$997=MAIN!A172)*PURCHASE!$C$2:$C$997)-SUMPRODUCT((CONSUME!$A$2:$A$992=MAIN!A172)*CONSUME!$C$2:$C$992))</f>
        <v>8</v>
      </c>
      <c r="D172" s="2" t="str">
        <f>IF(ISNA(_xlfn.XMATCH(A172,PURCHASE!$A:$A)),"先入料",_xlfn.XLOOKUP(A172,PURCHASE!A:A,PURCHASE!D:D))</f>
        <v>A4-2</v>
      </c>
      <c r="E172" s="4" t="str">
        <f>HYPERLINK("https://www.digikey.tw/product-detail/zh/texas-instruments/INA213CIDCKR/296-48294-1-ND/8347713", "INA213CIDCKR")</f>
        <v>INA213CIDCKR</v>
      </c>
      <c r="F172" s="4" t="str">
        <f>HYPERLINK("https://polarisphotonics-my.sharepoint.com/personal/bw_shiau_polarisphotonics_com/Documents/papers/IC/OP/INA213.pdf","pdf")</f>
        <v>pdf</v>
      </c>
      <c r="H172" s="10" t="s">
        <v>462</v>
      </c>
      <c r="K172" s="13">
        <v>1</v>
      </c>
      <c r="O172" t="s">
        <v>444</v>
      </c>
    </row>
    <row r="173" spans="1:15" x14ac:dyDescent="0.25">
      <c r="A173" t="s">
        <v>445</v>
      </c>
      <c r="B173" s="2" t="str">
        <f>IF(ISNA(_xlfn.XMATCH(A173,PURCHASE!$A:$A)),"先入料",_xlfn.XLOOKUP(A173,PURCHASE!A:A,PURCHASE!B:B))</f>
        <v>R</v>
      </c>
      <c r="C173" s="2" cm="1">
        <f t="array" ref="C173">IF(ISNA(_xlfn.XMATCH(A173,PURCHASE!$A:$A)),"先入料",SUMPRODUCT((PURCHASE!$A$2:$A$997=MAIN!A173)*PURCHASE!$C$2:$C$997)-SUMPRODUCT((CONSUME!$A$2:$A$992=MAIN!A173)*CONSUME!$C$2:$C$992))</f>
        <v>0</v>
      </c>
      <c r="D173" s="2">
        <f>IF(ISNA(_xlfn.XMATCH(A173,PURCHASE!$A:$A)),"先入料",_xlfn.XLOOKUP(A173,PURCHASE!A:A,PURCHASE!D:D))</f>
        <v>0</v>
      </c>
      <c r="E173" s="4" t="str">
        <f>HYPERLINK("https://www.digikey.tw/product-detail/zh/panasonic-electronic-components/ERJ-6DSFR10V/P19308CT-ND/6004663", "ERJ-6DSFR10V")</f>
        <v>ERJ-6DSFR10V</v>
      </c>
      <c r="F173" s="4" t="str">
        <f>HYPERLINK("https://industrial.panasonic.com/cdbs/www-data/pdf/RDN0000/AOA0000C313.pdf","pdf")</f>
        <v>pdf</v>
      </c>
      <c r="O173" t="s">
        <v>446</v>
      </c>
    </row>
    <row r="174" spans="1:15" x14ac:dyDescent="0.25">
      <c r="A174" t="s">
        <v>457</v>
      </c>
      <c r="B174" s="2" t="str">
        <f>IF(ISNA(_xlfn.XMATCH(A174,PURCHASE!$A:$A)),"先入料",_xlfn.XLOOKUP(A174,PURCHASE!A:A,PURCHASE!B:B))</f>
        <v>R</v>
      </c>
      <c r="C174" s="2" cm="1">
        <f t="array" ref="C174">IF(ISNA(_xlfn.XMATCH(A174,PURCHASE!$A:$A)),"先入料",SUMPRODUCT((PURCHASE!$A$2:$A$997=MAIN!A174)*PURCHASE!$C$2:$C$997)-SUMPRODUCT((CONSUME!$A$2:$A$992=MAIN!A174)*CONSUME!$C$2:$C$992))</f>
        <v>7</v>
      </c>
      <c r="D174" s="2" t="str">
        <f>IF(ISNA(_xlfn.XMATCH(A174,PURCHASE!$A:$A)),"先入料",_xlfn.XLOOKUP(A174,PURCHASE!A:A,PURCHASE!D:D))</f>
        <v>A8-1</v>
      </c>
      <c r="E174" s="4" t="str">
        <f>HYPERLINK("https://www.digikey.tw/product-detail/zh/delta-electronics-cyntec/RL0816T4F-4-R100-FNH/2037-RL0816T4F-4-R100-FNHCT-ND/11494658", "RL0816T4F-4-R100-FNH")</f>
        <v>RL0816T4F-4-R100-FNH</v>
      </c>
      <c r="F174" s="4" t="str">
        <f>HYPERLINK("https://media.digikey.com/pdf/Data%20Sheets/Cyntec/RL0816T4F-4_Series.pdf","pdf")</f>
        <v>pdf</v>
      </c>
      <c r="H174" s="10" t="s">
        <v>462</v>
      </c>
      <c r="K174" s="13">
        <v>3</v>
      </c>
      <c r="O174" t="s">
        <v>458</v>
      </c>
    </row>
    <row r="175" spans="1:15" x14ac:dyDescent="0.25">
      <c r="A175" t="s">
        <v>459</v>
      </c>
      <c r="B175" s="2" t="str">
        <f>IF(ISNA(_xlfn.XMATCH(A175,PURCHASE!$A:$A)),"先入料",_xlfn.XLOOKUP(A175,PURCHASE!A:A,PURCHASE!B:B))</f>
        <v>LDO</v>
      </c>
      <c r="C175" s="2" cm="1">
        <f t="array" ref="C175">IF(ISNA(_xlfn.XMATCH(A175,PURCHASE!$A:$A)),"先入料",SUMPRODUCT((PURCHASE!$A$2:$A$997=MAIN!A175)*PURCHASE!$C$2:$C$997)-SUMPRODUCT((CONSUME!$A$2:$A$992=MAIN!A175)*CONSUME!$C$2:$C$992))</f>
        <v>3</v>
      </c>
      <c r="D175" s="2" t="str">
        <f>IF(ISNA(_xlfn.XMATCH(A175,PURCHASE!$A:$A)),"先入料",_xlfn.XLOOKUP(A175,PURCHASE!A:A,PURCHASE!D:D))</f>
        <v>D8-1</v>
      </c>
      <c r="E175" s="4" t="str">
        <f>HYPERLINK("https://www.digikey.tw/product-detail/zh/texas-instruments/TPS74625PQWDRBRQ1/296-TPS74625PQWDRBRQ1CT-ND/14004654", "TPS74625PQWDRBRQ1")</f>
        <v>TPS74625PQWDRBRQ1</v>
      </c>
      <c r="F175" s="4" t="str">
        <f>HYPERLINK("https://polarisphotonics-my.sharepoint.com/personal/bw_shiau_polarisphotonics_com/Documents/papers/IC/LDO/tps746-q1.pdf","pdf")</f>
        <v>pdf</v>
      </c>
      <c r="H175" s="10" t="s">
        <v>462</v>
      </c>
      <c r="K175" s="13">
        <v>1</v>
      </c>
      <c r="O175" t="s">
        <v>460</v>
      </c>
    </row>
    <row r="176" spans="1:15" x14ac:dyDescent="0.25">
      <c r="A176" t="s">
        <v>470</v>
      </c>
      <c r="B176" s="2" t="str">
        <f>IF(ISNA(_xlfn.XMATCH(A176,PURCHASE!$A:$A)),"先入料",_xlfn.XLOOKUP(A176,PURCHASE!A:A,PURCHASE!B:B))</f>
        <v>OP</v>
      </c>
      <c r="C176" s="2" cm="1">
        <f t="array" ref="C176">IF(ISNA(_xlfn.XMATCH(A176,PURCHASE!$A:$A)),"先入料",SUMPRODUCT((PURCHASE!$A$2:$A$997=MAIN!A176)*PURCHASE!$C$2:$C$997)-SUMPRODUCT((CONSUME!$A$2:$A$992=MAIN!A176)*CONSUME!$C$2:$C$992))</f>
        <v>2</v>
      </c>
      <c r="D176" s="2" t="str">
        <f>IF(ISNA(_xlfn.XMATCH(A176,PURCHASE!$A:$A)),"先入料",_xlfn.XLOOKUP(A176,PURCHASE!A:A,PURCHASE!D:D))</f>
        <v>A6-2</v>
      </c>
      <c r="E176" s="4" t="str">
        <f>HYPERLINK("https://www.digikey.tw/product-detail/zh/ADA4927-1YCPZ-R7/ADA4927-1YCPZ-R7CT-ND/1979431?itemSeq=377264900", "ADA4927-1YCPZ-R7")</f>
        <v>ADA4927-1YCPZ-R7</v>
      </c>
      <c r="F176" s="4" t="str">
        <f>HYPERLINK("https://polarisphotonics-my.sharepoint.com/personal/bw_shiau_polarisphotonics_com/Documents/papers/IC/OP/ADA4927.pdf","pdf")</f>
        <v>pdf</v>
      </c>
      <c r="H176" s="10" t="s">
        <v>380</v>
      </c>
      <c r="J176" s="13">
        <v>0</v>
      </c>
      <c r="O176" t="s">
        <v>471</v>
      </c>
    </row>
    <row r="177" spans="1:15" x14ac:dyDescent="0.25">
      <c r="A177" t="s">
        <v>474</v>
      </c>
      <c r="B177" s="2" t="str">
        <f>IF(ISNA(_xlfn.XMATCH(A177,PURCHASE!$A:$A)),"先入料",_xlfn.XLOOKUP(A177,PURCHASE!A:A,PURCHASE!B:B))</f>
        <v>CON</v>
      </c>
      <c r="C177" s="2" cm="1">
        <f t="array" ref="C177">IF(ISNA(_xlfn.XMATCH(A177,PURCHASE!$A:$A)),"先入料",SUMPRODUCT((PURCHASE!$A$2:$A$997=MAIN!A177)*PURCHASE!$C$2:$C$997)-SUMPRODUCT((CONSUME!$A$2:$A$992=MAIN!A177)*CONSUME!$C$2:$C$992))</f>
        <v>0</v>
      </c>
      <c r="D177" s="2">
        <f>IF(ISNA(_xlfn.XMATCH(A177,PURCHASE!$A:$A)),"先入料",_xlfn.XLOOKUP(A177,PURCHASE!A:A,PURCHASE!D:D))</f>
        <v>0</v>
      </c>
      <c r="E177" s="4" t="str">
        <f>HYPERLINK("https://www.digikey.tw/product-detail/zh/norcomp-inc/25630401RP2/2563S-04-ND/1026565", "25630401RP2")</f>
        <v>25630401RP2</v>
      </c>
      <c r="F177" s="4" t="str">
        <f>HYPERLINK("https://www.norcomp.net/rohspdfs/Head-Recep/2Y6Y/2563YY01RP2.pdf","pdf")</f>
        <v>pdf</v>
      </c>
      <c r="H177" s="10" t="s">
        <v>380</v>
      </c>
      <c r="J177" s="13">
        <v>0</v>
      </c>
      <c r="O177" t="s">
        <v>473</v>
      </c>
    </row>
    <row r="178" spans="1:15" x14ac:dyDescent="0.25">
      <c r="A178" t="s">
        <v>475</v>
      </c>
      <c r="B178" s="2" t="str">
        <f>IF(ISNA(_xlfn.XMATCH(A178,PURCHASE!$A:$A)),"先入料",_xlfn.XLOOKUP(A178,PURCHASE!A:A,PURCHASE!B:B))</f>
        <v>CON</v>
      </c>
      <c r="C178" s="2" cm="1">
        <f t="array" ref="C178">IF(ISNA(_xlfn.XMATCH(A178,PURCHASE!$A:$A)),"先入料",SUMPRODUCT((PURCHASE!$A$2:$A$997=MAIN!A178)*PURCHASE!$C$2:$C$997)-SUMPRODUCT((CONSUME!$A$2:$A$992=MAIN!A178)*CONSUME!$C$2:$C$992))</f>
        <v>0</v>
      </c>
      <c r="D178" s="2">
        <f>IF(ISNA(_xlfn.XMATCH(A178,PURCHASE!$A:$A)),"先入料",_xlfn.XLOOKUP(A178,PURCHASE!A:A,PURCHASE!D:D))</f>
        <v>0</v>
      </c>
      <c r="E178" s="4" t="str">
        <f>HYPERLINK("https://www.digikey.tw/product-detail/zh/MTMM-113-07-S-S-235/MTMM-113-07-S-S-235-ND/8231676?itemSeq=377388855", "MTMM-113-07-S-S-235")</f>
        <v>MTMM-113-07-S-S-235</v>
      </c>
      <c r="F178" s="4"/>
      <c r="H178" s="10" t="s">
        <v>462</v>
      </c>
      <c r="K178" s="13">
        <v>1</v>
      </c>
      <c r="O178" t="s">
        <v>476</v>
      </c>
    </row>
    <row r="179" spans="1:15" x14ac:dyDescent="0.25">
      <c r="A179" t="s">
        <v>477</v>
      </c>
      <c r="B179" s="2" t="str">
        <f>IF(ISNA(_xlfn.XMATCH(A179,PURCHASE!$A:$A)),"先入料",_xlfn.XLOOKUP(A179,PURCHASE!A:A,PURCHASE!B:B))</f>
        <v>CON</v>
      </c>
      <c r="C179" s="2" cm="1">
        <f t="array" ref="C179">IF(ISNA(_xlfn.XMATCH(A179,PURCHASE!$A:$A)),"先入料",SUMPRODUCT((PURCHASE!$A$2:$A$997=MAIN!A179)*PURCHASE!$C$2:$C$997)-SUMPRODUCT((CONSUME!$A$2:$A$992=MAIN!A179)*CONSUME!$C$2:$C$992))</f>
        <v>0</v>
      </c>
      <c r="D179" s="2">
        <f>IF(ISNA(_xlfn.XMATCH(A179,PURCHASE!$A:$A)),"先入料",_xlfn.XLOOKUP(A179,PURCHASE!A:A,PURCHASE!D:D))</f>
        <v>0</v>
      </c>
      <c r="E179" s="4" t="str">
        <f>HYPERLINK("https://www.digikey.tw/product-detail/zh/adam-tech/2RS1-03-G/2057-2RS1-03-G-ND/9833058", "2RS1-03-G")</f>
        <v>2RS1-03-G</v>
      </c>
      <c r="H179" s="10" t="s">
        <v>380</v>
      </c>
      <c r="J179" s="13">
        <v>1</v>
      </c>
      <c r="O179" t="s">
        <v>478</v>
      </c>
    </row>
    <row r="180" spans="1:15" x14ac:dyDescent="0.25">
      <c r="A180" t="s">
        <v>479</v>
      </c>
      <c r="B180" s="2" t="str">
        <f>IF(ISNA(_xlfn.XMATCH(A180,PURCHASE!$A:$A)),"先入料",_xlfn.XLOOKUP(A180,PURCHASE!A:A,PURCHASE!B:B))</f>
        <v>R</v>
      </c>
      <c r="C180" s="2" cm="1">
        <f t="array" ref="C180">IF(ISNA(_xlfn.XMATCH(A180,PURCHASE!$A:$A)),"先入料",SUMPRODUCT((PURCHASE!$A$2:$A$997=MAIN!A180)*PURCHASE!$C$2:$C$997)-SUMPRODUCT((CONSUME!$A$2:$A$992=MAIN!A180)*CONSUME!$C$2:$C$992))</f>
        <v>100</v>
      </c>
      <c r="D180" s="2" t="str">
        <f>IF(ISNA(_xlfn.XMATCH(A180,PURCHASE!$A:$A)),"先入料",_xlfn.XLOOKUP(A180,PURCHASE!A:A,PURCHASE!D:D))</f>
        <v>D9-2</v>
      </c>
      <c r="E180" s="4" t="str">
        <f>HYPERLINK("https://www.digikey.tw/product-detail/zh/yageo/RC0402FR-07178RL/YAG3011CT-ND/5281876","RC0402FR-07178RL")</f>
        <v>RC0402FR-07178RL</v>
      </c>
      <c r="F180" s="4" t="str">
        <f>HYPERLINK("https://www.yageo.com/upload/media/product/productsearch/datasheet/rchip/PYu-RC_Group_51_RoHS_L_11.pdf","pdf")</f>
        <v>pdf</v>
      </c>
      <c r="H180" s="10" t="s">
        <v>380</v>
      </c>
      <c r="J180" s="13">
        <v>0</v>
      </c>
      <c r="O180" t="s">
        <v>481</v>
      </c>
    </row>
    <row r="181" spans="1:15" x14ac:dyDescent="0.25">
      <c r="A181" t="s">
        <v>480</v>
      </c>
      <c r="B181" s="2" t="str">
        <f>IF(ISNA(_xlfn.XMATCH(A181,PURCHASE!$A:$A)),"先入料",_xlfn.XLOOKUP(A181,PURCHASE!A:A,PURCHASE!B:B))</f>
        <v>R</v>
      </c>
      <c r="C181" s="2" cm="1">
        <f t="array" ref="C181">IF(ISNA(_xlfn.XMATCH(A181,PURCHASE!$A:$A)),"先入料",SUMPRODUCT((PURCHASE!$A$2:$A$997=MAIN!A181)*PURCHASE!$C$2:$C$997)-SUMPRODUCT((CONSUME!$A$2:$A$992=MAIN!A181)*CONSUME!$C$2:$C$992))</f>
        <v>100</v>
      </c>
      <c r="D181" s="2" t="str">
        <f>IF(ISNA(_xlfn.XMATCH(A181,PURCHASE!$A:$A)),"先入料",_xlfn.XLOOKUP(A181,PURCHASE!A:A,PURCHASE!D:D))</f>
        <v>D9-2</v>
      </c>
      <c r="E181" s="4" t="str">
        <f>HYPERLINK("https://www.digikey.tw/product-detail/zh/yageo/RC0402FR-07536RL/YAG3182CT-ND/5282047","RC0402FR-07536RL")</f>
        <v>RC0402FR-07536RL</v>
      </c>
      <c r="F181" s="4" t="str">
        <f>HYPERLINK("https://www.yageo.com/upload/media/product/productsearch/datasheet/rchip/PYu-RC_Group_51_RoHS_L_11.pdf","pdf")</f>
        <v>pdf</v>
      </c>
      <c r="H181" s="10" t="s">
        <v>380</v>
      </c>
      <c r="J181" s="13">
        <v>0</v>
      </c>
      <c r="O181" t="s">
        <v>482</v>
      </c>
    </row>
    <row r="182" spans="1:15" x14ac:dyDescent="0.25">
      <c r="A182" t="s">
        <v>483</v>
      </c>
      <c r="B182" s="2" t="str">
        <f>IF(ISNA(_xlfn.XMATCH(A182,PURCHASE!$A:$A)),"先入料",_xlfn.XLOOKUP(A182,PURCHASE!A:A,PURCHASE!B:B))</f>
        <v>CON</v>
      </c>
      <c r="C182" s="2" cm="1">
        <f t="array" ref="C182">IF(ISNA(_xlfn.XMATCH(A182,PURCHASE!$A:$A)),"先入料",SUMPRODUCT((PURCHASE!$A$2:$A$997=MAIN!A182)*PURCHASE!$C$2:$C$997)-SUMPRODUCT((CONSUME!$A$2:$A$992=MAIN!A182)*CONSUME!$C$2:$C$992))</f>
        <v>0</v>
      </c>
      <c r="D182" s="2">
        <f>IF(ISNA(_xlfn.XMATCH(A182,PURCHASE!$A:$A)),"先入料",_xlfn.XLOOKUP(A182,PURCHASE!A:A,PURCHASE!D:D))</f>
        <v>0</v>
      </c>
      <c r="E182" s="4" t="str">
        <f>HYPERLINK("https://www.digikey.tw/product-detail/zh/w%C3%BCrth-elektronik/61900311021/732-2700-ND/2508469", "61900311021")</f>
        <v>61900311021</v>
      </c>
      <c r="F182" s="4" t="str">
        <f>HYPERLINK("https://www.we-online.de/katalog/datasheet/6190xx11021.pdf","pdf")</f>
        <v>pdf</v>
      </c>
      <c r="O182" t="s">
        <v>484</v>
      </c>
    </row>
    <row r="183" spans="1:15" x14ac:dyDescent="0.25">
      <c r="A183" t="s">
        <v>485</v>
      </c>
      <c r="B183" s="2" t="str">
        <f>IF(ISNA(_xlfn.XMATCH(A183,PURCHASE!$A:$A)),"先入料",_xlfn.XLOOKUP(A183,PURCHASE!A:A,PURCHASE!B:B))</f>
        <v>PCB</v>
      </c>
      <c r="C183" s="2" cm="1">
        <f t="array" ref="C183">IF(ISNA(_xlfn.XMATCH(A183,PURCHASE!$A:$A)),"先入料",SUMPRODUCT((PURCHASE!$A$2:$A$997=MAIN!A183)*PURCHASE!$C$2:$C$997)-SUMPRODUCT((CONSUME!$A$2:$A$992=MAIN!A183)*CONSUME!$C$2:$C$992))</f>
        <v>10</v>
      </c>
      <c r="D183" s="2">
        <f>IF(ISNA(_xlfn.XMATCH(A183,PURCHASE!$A:$A)),"先入料",_xlfn.XLOOKUP(A183,PURCHASE!A:A,PURCHASE!D:D))</f>
        <v>0</v>
      </c>
      <c r="H183" s="10" t="s">
        <v>381</v>
      </c>
      <c r="J183" s="13">
        <v>0</v>
      </c>
      <c r="O183" t="s">
        <v>487</v>
      </c>
    </row>
    <row r="184" spans="1:15" x14ac:dyDescent="0.25">
      <c r="A184" t="s">
        <v>486</v>
      </c>
      <c r="B184" s="2" t="str">
        <f>IF(ISNA(_xlfn.XMATCH(A184,PURCHASE!$A:$A)),"先入料",_xlfn.XLOOKUP(A184,PURCHASE!A:A,PURCHASE!B:B))</f>
        <v>PCB</v>
      </c>
      <c r="C184" s="2" cm="1">
        <f t="array" ref="C184">IF(ISNA(_xlfn.XMATCH(A184,PURCHASE!$A:$A)),"先入料",SUMPRODUCT((PURCHASE!$A$2:$A$997=MAIN!A184)*PURCHASE!$C$2:$C$997)-SUMPRODUCT((CONSUME!$A$2:$A$992=MAIN!A184)*CONSUME!$C$2:$C$992))</f>
        <v>10</v>
      </c>
      <c r="D184" s="2">
        <f>IF(ISNA(_xlfn.XMATCH(A184,PURCHASE!$A:$A)),"先入料",_xlfn.XLOOKUP(A184,PURCHASE!A:A,PURCHASE!D:D))</f>
        <v>0</v>
      </c>
      <c r="H184" s="10" t="s">
        <v>462</v>
      </c>
      <c r="K184" s="13">
        <v>1</v>
      </c>
      <c r="O184" t="s">
        <v>488</v>
      </c>
    </row>
    <row r="185" spans="1:15" x14ac:dyDescent="0.25">
      <c r="A185" t="s">
        <v>504</v>
      </c>
      <c r="B185" s="2" t="str">
        <f>IF(ISNA(_xlfn.XMATCH(A185,PURCHASE!$A:$A)),"先入料",_xlfn.XLOOKUP(A185,PURCHASE!A:A,PURCHASE!B:B))</f>
        <v>LDO</v>
      </c>
      <c r="C185" s="2" cm="1">
        <f t="array" ref="C185">IF(ISNA(_xlfn.XMATCH(A185,PURCHASE!$A:$A)),"先入料",SUMPRODUCT((PURCHASE!$A$2:$A$997=MAIN!A185)*PURCHASE!$C$2:$C$997)-SUMPRODUCT((CONSUME!$A$2:$A$992=MAIN!A185)*CONSUME!$C$2:$C$992))</f>
        <v>0</v>
      </c>
      <c r="D185" s="2">
        <f>IF(ISNA(_xlfn.XMATCH(A185,PURCHASE!$A:$A)),"先入料",_xlfn.XLOOKUP(A185,PURCHASE!A:A,PURCHASE!D:D))</f>
        <v>0</v>
      </c>
      <c r="E185" s="4" t="str">
        <f>HYPERLINK("https://www.digikey.tw/product-detail/zh/onsemi/NCP135BMT040TBG/NCP135BMT040TBGOSCT-ND/9169226", "NCP135BMT040TBG")</f>
        <v>NCP135BMT040TBG</v>
      </c>
      <c r="F185" s="4" t="str">
        <f>HYPERLINK("https://polarisphotonics-my.sharepoint.com/personal/bw_shiau_polarisphotonics_com/Documents/papers/IC/LDO/NCP135.pdf","pdf")</f>
        <v>pdf</v>
      </c>
      <c r="H185" s="10" t="s">
        <v>500</v>
      </c>
      <c r="L185" s="13">
        <v>1</v>
      </c>
      <c r="O185" t="s">
        <v>505</v>
      </c>
    </row>
    <row r="186" spans="1:15" x14ac:dyDescent="0.25">
      <c r="A186" t="s">
        <v>506</v>
      </c>
      <c r="B186" s="2" t="str">
        <f>IF(ISNA(_xlfn.XMATCH(A186,PURCHASE!$A:$A)),"先入料",_xlfn.XLOOKUP(A186,PURCHASE!A:A,PURCHASE!B:B))</f>
        <v>MCU</v>
      </c>
      <c r="C186" s="2" cm="1">
        <f t="array" ref="C186">IF(ISNA(_xlfn.XMATCH(A186,PURCHASE!$A:$A)),"先入料",SUMPRODUCT((PURCHASE!$A$2:$A$997=MAIN!A186)*PURCHASE!$C$2:$C$997)-SUMPRODUCT((CONSUME!$A$2:$A$992=MAIN!A186)*CONSUME!$C$2:$C$992))</f>
        <v>0</v>
      </c>
      <c r="D186" s="2">
        <f>IF(ISNA(_xlfn.XMATCH(A186,PURCHASE!$A:$A)),"先入料",_xlfn.XLOOKUP(A186,PURCHASE!A:A,PURCHASE!D:D))</f>
        <v>0</v>
      </c>
      <c r="E186" s="4" t="str">
        <f>HYPERLINK("https://www.digikey.tw/product-detail/zh/microchip-technology/ATMEGA328P-MN/ATMEGA328P-MN-ND/2357088", "ATMEGA328P-MN")</f>
        <v>ATMEGA328P-MN</v>
      </c>
      <c r="F186" s="4" t="str">
        <f>HYPERLINK("https://polarisphotonics-my.sharepoint.com/personal/bw_shiau_polarisphotonics_com/Documents/papers/IC/MCU/ATmega328P.pdf","pdf")</f>
        <v>pdf</v>
      </c>
      <c r="H186" s="10" t="s">
        <v>500</v>
      </c>
      <c r="L186" s="13">
        <v>1</v>
      </c>
      <c r="O186" t="s">
        <v>508</v>
      </c>
    </row>
    <row r="187" spans="1:15" x14ac:dyDescent="0.25">
      <c r="A187" t="s">
        <v>509</v>
      </c>
      <c r="B187" s="2" t="str">
        <f>IF(ISNA(_xlfn.XMATCH(A187,PURCHASE!$A:$A)),"先入料",_xlfn.XLOOKUP(A187,PURCHASE!A:A,PURCHASE!B:B))</f>
        <v>D</v>
      </c>
      <c r="C187" s="2" cm="1">
        <f t="array" ref="C187">IF(ISNA(_xlfn.XMATCH(A187,PURCHASE!$A:$A)),"先入料",SUMPRODUCT((PURCHASE!$A$2:$A$997=MAIN!A187)*PURCHASE!$C$2:$C$997)-SUMPRODUCT((CONSUME!$A$2:$A$992=MAIN!A187)*CONSUME!$C$2:$C$992))</f>
        <v>0</v>
      </c>
      <c r="D187" s="2">
        <f>IF(ISNA(_xlfn.XMATCH(A187,PURCHASE!$A:$A)),"先入料",_xlfn.XLOOKUP(A187,PURCHASE!A:A,PURCHASE!D:D))</f>
        <v>0</v>
      </c>
      <c r="E187" s="4" t="str">
        <f>HYPERLINK("https://www.digikey.tw/products/zh?keywords=SD107WS-TPMSCT-ND", "SD107WS-TP")</f>
        <v>SD107WS-TP</v>
      </c>
      <c r="F187" s="4" t="str">
        <f>HYPERLINK("https://www.mccsemi.com/pdf/Products/SD107WS(SOD-323).PDF","pdf")</f>
        <v>pdf</v>
      </c>
      <c r="H187" s="10" t="s">
        <v>500</v>
      </c>
      <c r="L187" s="13">
        <v>3</v>
      </c>
      <c r="O187" t="s">
        <v>510</v>
      </c>
    </row>
    <row r="188" spans="1:15" x14ac:dyDescent="0.25">
      <c r="A188" t="s">
        <v>511</v>
      </c>
      <c r="B188" s="2" t="str">
        <f>IF(ISNA(_xlfn.XMATCH(A188,PURCHASE!$A:$A)),"先入料",_xlfn.XLOOKUP(A188,PURCHASE!A:A,PURCHASE!B:B))</f>
        <v>D</v>
      </c>
      <c r="C188" s="2" cm="1">
        <f t="array" ref="C188">IF(ISNA(_xlfn.XMATCH(A188,PURCHASE!$A:$A)),"先入料",SUMPRODUCT((PURCHASE!$A$2:$A$997=MAIN!A188)*PURCHASE!$C$2:$C$997)-SUMPRODUCT((CONSUME!$A$2:$A$992=MAIN!A188)*CONSUME!$C$2:$C$992))</f>
        <v>0</v>
      </c>
      <c r="D188" s="2">
        <f>IF(ISNA(_xlfn.XMATCH(A188,PURCHASE!$A:$A)),"先入料",_xlfn.XLOOKUP(A188,PURCHASE!A:A,PURCHASE!D:D))</f>
        <v>0</v>
      </c>
      <c r="E188" s="4" t="str">
        <f>HYPERLINK("https://www.digikey.tw/product-detail/zh/texas-instruments/TPD4S012DRYR/296-24244-1-ND/2037535", "TPD4S012DRYR")</f>
        <v>TPD4S012DRYR</v>
      </c>
      <c r="F188" s="4" t="str">
        <f>HYPERLINK("https://www.ti.com/general/docs/suppproductinfo.tsp?distId=10&amp;gotoUrl=https%3A%2F%2Fwww.ti.com%2Flit%2Fgpn%2Ftpd4s012","pdf")</f>
        <v>pdf</v>
      </c>
      <c r="H188" s="10" t="s">
        <v>500</v>
      </c>
      <c r="L188" s="13">
        <v>1</v>
      </c>
      <c r="O188" t="s">
        <v>512</v>
      </c>
    </row>
    <row r="189" spans="1:15" x14ac:dyDescent="0.25">
      <c r="A189" t="s">
        <v>513</v>
      </c>
      <c r="B189" s="2" t="str">
        <f>IF(ISNA(_xlfn.XMATCH(A189,PURCHASE!$A:$A)),"先入料",_xlfn.XLOOKUP(A189,PURCHASE!A:A,PURCHASE!B:B))</f>
        <v>REF</v>
      </c>
      <c r="C189" s="2" cm="1">
        <f t="array" ref="C189">IF(ISNA(_xlfn.XMATCH(A189,PURCHASE!$A:$A)),"先入料",SUMPRODUCT((PURCHASE!$A$2:$A$997=MAIN!A189)*PURCHASE!$C$2:$C$997)-SUMPRODUCT((CONSUME!$A$2:$A$992=MAIN!A189)*CONSUME!$C$2:$C$992))</f>
        <v>0</v>
      </c>
      <c r="D189" s="2">
        <f>IF(ISNA(_xlfn.XMATCH(A189,PURCHASE!$A:$A)),"先入料",_xlfn.XLOOKUP(A189,PURCHASE!A:A,PURCHASE!D:D))</f>
        <v>0</v>
      </c>
      <c r="E189" s="4" t="str">
        <f>HYPERLINK("https://www.digikey.tw/products/zh?keywords=296-38496-1-ND", "REF2030AIDDCT")</f>
        <v>REF2030AIDDCT</v>
      </c>
      <c r="F189" s="4" t="str">
        <f>HYPERLINK("https://polarisphotonics-my.sharepoint.com/personal/bw_shiau_polarisphotonics_com/Documents/papers/IC/REF/ref2030.pdf","pdf")</f>
        <v>pdf</v>
      </c>
      <c r="H189" s="10" t="s">
        <v>500</v>
      </c>
      <c r="L189" s="13">
        <v>1</v>
      </c>
      <c r="O189" t="s">
        <v>516</v>
      </c>
    </row>
    <row r="190" spans="1:15" x14ac:dyDescent="0.25">
      <c r="A190" t="s">
        <v>515</v>
      </c>
      <c r="B190" s="2" t="str">
        <f>IF(ISNA(_xlfn.XMATCH(A190,PURCHASE!$A:$A)),"先入料",_xlfn.XLOOKUP(A190,PURCHASE!A:A,PURCHASE!B:B))</f>
        <v>XTAL</v>
      </c>
      <c r="C190" s="2" cm="1">
        <f t="array" ref="C190">IF(ISNA(_xlfn.XMATCH(A190,PURCHASE!$A:$A)),"先入料",SUMPRODUCT((PURCHASE!$A$2:$A$997=MAIN!A190)*PURCHASE!$C$2:$C$997)-SUMPRODUCT((CONSUME!$A$2:$A$992=MAIN!A190)*CONSUME!$C$2:$C$992))</f>
        <v>0</v>
      </c>
      <c r="D190" s="2">
        <f>IF(ISNA(_xlfn.XMATCH(A190,PURCHASE!$A:$A)),"先入料",_xlfn.XLOOKUP(A190,PURCHASE!A:A,PURCHASE!D:D))</f>
        <v>0</v>
      </c>
      <c r="E190" s="4" t="str">
        <f>HYPERLINK("https://www.digikey.tw/product-detail/zh/txc-corporation/7V-10-000MDHV-T/887-7V-10-000MDHV-TCT-ND/11587738", "7V-10.000MDHV-T")</f>
        <v>7V-10.000MDHV-T</v>
      </c>
      <c r="F190" s="4" t="str">
        <f>HYPERLINK("http://www.txccrystal.com/images/pdf/7v.pdf","pdf")</f>
        <v>pdf</v>
      </c>
      <c r="H190" s="10" t="s">
        <v>500</v>
      </c>
      <c r="L190" s="13">
        <v>1</v>
      </c>
      <c r="O190" t="s">
        <v>517</v>
      </c>
    </row>
    <row r="191" spans="1:15" x14ac:dyDescent="0.25">
      <c r="A191" t="s">
        <v>518</v>
      </c>
      <c r="B191" s="2" t="str">
        <f>IF(ISNA(_xlfn.XMATCH(A191,PURCHASE!$A:$A)),"先入料",_xlfn.XLOOKUP(A191,PURCHASE!A:A,PURCHASE!B:B))</f>
        <v>L</v>
      </c>
      <c r="C191" s="2" cm="1">
        <f t="array" ref="C191">IF(ISNA(_xlfn.XMATCH(A191,PURCHASE!$A:$A)),"先入料",SUMPRODUCT((PURCHASE!$A$2:$A$997=MAIN!A191)*PURCHASE!$C$2:$C$997)-SUMPRODUCT((CONSUME!$A$2:$A$992=MAIN!A191)*CONSUME!$C$2:$C$992))</f>
        <v>0</v>
      </c>
      <c r="D191" s="2">
        <f>IF(ISNA(_xlfn.XMATCH(A191,PURCHASE!$A:$A)),"先入料",_xlfn.XLOOKUP(A191,PURCHASE!A:A,PURCHASE!D:D))</f>
        <v>0</v>
      </c>
      <c r="E191" s="4" t="str">
        <f>HYPERLINK("https://www.digikey.tw/products/zh?keywords=240-2372-1-ND", "MI0603J680R-10")</f>
        <v>MI0603J680R-10</v>
      </c>
      <c r="F191" s="4" t="str">
        <f>HYPERLINK("https://media.digikey.com/pdf/Data%20Sheets/Laird%20Technologies/EMI_Filtering_and_RF_Inductors.pdf","pdf")</f>
        <v>pdf</v>
      </c>
      <c r="H191" s="10" t="s">
        <v>500</v>
      </c>
      <c r="L191" s="13">
        <v>1</v>
      </c>
      <c r="O191" t="s">
        <v>519</v>
      </c>
    </row>
    <row r="192" spans="1:15" x14ac:dyDescent="0.25">
      <c r="A192" t="s">
        <v>520</v>
      </c>
      <c r="B192" s="2" t="str">
        <f>IF(ISNA(_xlfn.XMATCH(A192,PURCHASE!$A:$A)),"先入料",_xlfn.XLOOKUP(A192,PURCHASE!A:A,PURCHASE!B:B))</f>
        <v>L</v>
      </c>
      <c r="C192" s="2" cm="1">
        <f t="array" ref="C192">IF(ISNA(_xlfn.XMATCH(A192,PURCHASE!$A:$A)),"先入料",SUMPRODUCT((PURCHASE!$A$2:$A$997=MAIN!A192)*PURCHASE!$C$2:$C$997)-SUMPRODUCT((CONSUME!$A$2:$A$992=MAIN!A192)*CONSUME!$C$2:$C$992))</f>
        <v>0</v>
      </c>
      <c r="D192" s="2">
        <f>IF(ISNA(_xlfn.XMATCH(A192,PURCHASE!$A:$A)),"先入料",_xlfn.XLOOKUP(A192,PURCHASE!A:A,PURCHASE!D:D))</f>
        <v>0</v>
      </c>
      <c r="E192" s="4" t="str">
        <f>HYPERLINK("https://www.digikey.tw/product-detail/zh/murata-electronics/LQW32FT100M0HL/490-18065-1-ND/9559577", "LQW32FT100M0HL")</f>
        <v>LQW32FT100M0HL</v>
      </c>
      <c r="F192" s="4" t="str">
        <f>HYPERLINK("https://search.murata.co.jp/Ceramy/image/img/P02/JELF243A-9147.pdf","pdf")</f>
        <v>pdf</v>
      </c>
      <c r="H192" s="10" t="s">
        <v>500</v>
      </c>
      <c r="L192" s="13">
        <v>1</v>
      </c>
      <c r="O192" t="s">
        <v>521</v>
      </c>
    </row>
    <row r="193" spans="1:15" x14ac:dyDescent="0.25">
      <c r="A193" t="s">
        <v>523</v>
      </c>
      <c r="B193" s="2" t="str">
        <f>IF(ISNA(_xlfn.XMATCH(A193,PURCHASE!$A:$A)),"先入料",_xlfn.XLOOKUP(A193,PURCHASE!A:A,PURCHASE!B:B))</f>
        <v>L</v>
      </c>
      <c r="C193" s="2" cm="1">
        <f t="array" ref="C193">IF(ISNA(_xlfn.XMATCH(A193,PURCHASE!$A:$A)),"先入料",SUMPRODUCT((PURCHASE!$A$2:$A$997=MAIN!A193)*PURCHASE!$C$2:$C$997)-SUMPRODUCT((CONSUME!$A$2:$A$992=MAIN!A193)*CONSUME!$C$2:$C$992))</f>
        <v>0</v>
      </c>
      <c r="D193" s="2">
        <f>IF(ISNA(_xlfn.XMATCH(A193,PURCHASE!$A:$A)),"先入料",_xlfn.XLOOKUP(A193,PURCHASE!A:A,PURCHASE!D:D))</f>
        <v>0</v>
      </c>
      <c r="E193" s="4" t="str">
        <f>HYPERLINK("https://www.digikey.tw/products/zh?keywords=732-2424-1-ND", "7447798470")</f>
        <v>7447798470</v>
      </c>
      <c r="F193" s="4" t="str">
        <f>HYPERLINK("https://www.we-online.de/katalog/datasheet/7447798470.pdf","pdf")</f>
        <v>pdf</v>
      </c>
      <c r="H193" s="10" t="s">
        <v>500</v>
      </c>
      <c r="L193" s="13">
        <v>2</v>
      </c>
      <c r="O193" t="s">
        <v>522</v>
      </c>
    </row>
    <row r="194" spans="1:15" x14ac:dyDescent="0.25">
      <c r="A194" t="s">
        <v>524</v>
      </c>
      <c r="B194" s="2" t="str">
        <f>IF(ISNA(_xlfn.XMATCH(A194,PURCHASE!$A:$A)),"先入料",_xlfn.XLOOKUP(A194,PURCHASE!A:A,PURCHASE!B:B))</f>
        <v>L</v>
      </c>
      <c r="C194" s="2" cm="1">
        <f t="array" ref="C194">IF(ISNA(_xlfn.XMATCH(A194,PURCHASE!$A:$A)),"先入料",SUMPRODUCT((PURCHASE!$A$2:$A$997=MAIN!A194)*PURCHASE!$C$2:$C$997)-SUMPRODUCT((CONSUME!$A$2:$A$992=MAIN!A194)*CONSUME!$C$2:$C$992))</f>
        <v>0</v>
      </c>
      <c r="D194" s="2">
        <f>IF(ISNA(_xlfn.XMATCH(A194,PURCHASE!$A:$A)),"先入料",_xlfn.XLOOKUP(A194,PURCHASE!A:A,PURCHASE!D:D))</f>
        <v>0</v>
      </c>
      <c r="E194" s="4" t="str">
        <f>HYPERLINK("https://www.digikey.tw/products/zh?keywords=732-2140-1-ND", "7443320220")</f>
        <v>7443320220</v>
      </c>
      <c r="F194" s="4" t="str">
        <f>HYPERLINK("https://www.we-online.de/katalog/datasheet/7443320220.pdf","pdf")</f>
        <v>pdf</v>
      </c>
      <c r="H194" s="10" t="s">
        <v>500</v>
      </c>
      <c r="L194" s="13">
        <v>1</v>
      </c>
      <c r="O194" t="s">
        <v>525</v>
      </c>
    </row>
    <row r="195" spans="1:15" x14ac:dyDescent="0.25">
      <c r="A195" t="s">
        <v>526</v>
      </c>
      <c r="B195" s="2" t="str">
        <f>IF(ISNA(_xlfn.XMATCH(A195,PURCHASE!$A:$A)),"先入料",_xlfn.XLOOKUP(A195,PURCHASE!A:A,PURCHASE!B:B))</f>
        <v>CON</v>
      </c>
      <c r="C195" s="2" cm="1">
        <f t="array" ref="C195">IF(ISNA(_xlfn.XMATCH(A195,PURCHASE!$A:$A)),"先入料",SUMPRODUCT((PURCHASE!$A$2:$A$997=MAIN!A195)*PURCHASE!$C$2:$C$997)-SUMPRODUCT((CONSUME!$A$2:$A$992=MAIN!A195)*CONSUME!$C$2:$C$992))</f>
        <v>0</v>
      </c>
      <c r="D195" s="2">
        <f>IF(ISNA(_xlfn.XMATCH(A195,PURCHASE!$A:$A)),"先入料",_xlfn.XLOOKUP(A195,PURCHASE!A:A,PURCHASE!D:D))</f>
        <v>0</v>
      </c>
      <c r="E195" s="4" t="str">
        <f>HYPERLINK("https://www.digikey.tw/product-detail/zh/te-connectivity-amp-connectors/1981568-1/A97800CT-ND/1786250", "1981568-1")</f>
        <v>1981568-1</v>
      </c>
      <c r="F195" s="4" t="str">
        <f>HYPERLINK("https://www.te.com/commerce/DocumentDelivery/DDEController?Action=srchrtrv&amp;DocNm=1981568&amp;DocType=Customer+Drawing&amp;DocLang=English","pdf")</f>
        <v>pdf</v>
      </c>
      <c r="H195" s="10" t="s">
        <v>500</v>
      </c>
      <c r="L195" s="13">
        <v>1</v>
      </c>
      <c r="O195" t="s">
        <v>527</v>
      </c>
    </row>
    <row r="196" spans="1:15" x14ac:dyDescent="0.25">
      <c r="A196" t="s">
        <v>528</v>
      </c>
      <c r="B196" s="2" t="str">
        <f>IF(ISNA(_xlfn.XMATCH(A196,PURCHASE!$A:$A)),"先入料",_xlfn.XLOOKUP(A196,PURCHASE!A:A,PURCHASE!B:B))</f>
        <v>SER</v>
      </c>
      <c r="C196" s="2" cm="1">
        <f t="array" ref="C196">IF(ISNA(_xlfn.XMATCH(A196,PURCHASE!$A:$A)),"先入料",SUMPRODUCT((PURCHASE!$A$2:$A$997=MAIN!A196)*PURCHASE!$C$2:$C$997)-SUMPRODUCT((CONSUME!$A$2:$A$992=MAIN!A196)*CONSUME!$C$2:$C$992))</f>
        <v>0</v>
      </c>
      <c r="D196" s="2">
        <f>IF(ISNA(_xlfn.XMATCH(A196,PURCHASE!$A:$A)),"先入料",_xlfn.XLOOKUP(A196,PURCHASE!A:A,PURCHASE!D:D))</f>
        <v>0</v>
      </c>
      <c r="E196" s="4" t="str">
        <f>HYPERLINK("https://www.digikey.tw/product-detail/zh/ftdi-future-technology-devices-international-ltd/FT232RQ-REEL/768-1008-1-ND/1836403", "FT232RQ-REEL")</f>
        <v>FT232RQ-REEL</v>
      </c>
      <c r="F196" s="4" t="str">
        <f>HYPERLINK("https://polarisphotonics-my.sharepoint.com/personal/bw_shiau_polarisphotonics_com/Documents/papers/IC/USB/FT232R.pdf","pdf")</f>
        <v>pdf</v>
      </c>
      <c r="H196" s="10" t="s">
        <v>500</v>
      </c>
      <c r="L196" s="13">
        <v>1</v>
      </c>
      <c r="O196" t="s">
        <v>529</v>
      </c>
    </row>
    <row r="197" spans="1:15" x14ac:dyDescent="0.25">
      <c r="A197" t="s">
        <v>530</v>
      </c>
      <c r="B197" s="2" t="str">
        <f>IF(ISNA(_xlfn.XMATCH(A197,PURCHASE!$A:$A)),"先入料",_xlfn.XLOOKUP(A197,PURCHASE!A:A,PURCHASE!B:B))</f>
        <v>REF</v>
      </c>
      <c r="C197" s="2" cm="1">
        <f t="array" ref="C197">IF(ISNA(_xlfn.XMATCH(A197,PURCHASE!$A:$A)),"先入料",SUMPRODUCT((PURCHASE!$A$2:$A$997=MAIN!A197)*PURCHASE!$C$2:$C$997)-SUMPRODUCT((CONSUME!$A$2:$A$992=MAIN!A197)*CONSUME!$C$2:$C$992))</f>
        <v>0</v>
      </c>
      <c r="D197" s="2">
        <f>IF(ISNA(_xlfn.XMATCH(A197,PURCHASE!$A:$A)),"先入料",_xlfn.XLOOKUP(A197,PURCHASE!A:A,PURCHASE!D:D))</f>
        <v>0</v>
      </c>
      <c r="E197" s="4" t="str">
        <f>HYPERLINK("https://www.digikey.tw/product-detail/zh/diodes-incorporated/AZ431LANTR-G1/AZ431LANTR-G1DICT-ND/4505332", "AZ431LANTR-G1")</f>
        <v>AZ431LANTR-G1</v>
      </c>
      <c r="F197" s="4" t="str">
        <f>HYPERLINK("https://polarisphotonics-my.sharepoint.com/personal/bw_shiau_polarisphotonics_com/Documents/papers/IC/REF/AZ431L.pdf","pdf")</f>
        <v>pdf</v>
      </c>
      <c r="H197" s="10" t="s">
        <v>500</v>
      </c>
      <c r="L197" s="13">
        <v>3</v>
      </c>
      <c r="O197" t="s">
        <v>531</v>
      </c>
    </row>
    <row r="198" spans="1:15" x14ac:dyDescent="0.25">
      <c r="A198" t="s">
        <v>537</v>
      </c>
      <c r="B198" s="2" t="str">
        <f>IF(ISNA(_xlfn.XMATCH(A198,PURCHASE!$A:$A)),"先入料",_xlfn.XLOOKUP(A198,PURCHASE!A:A,PURCHASE!B:B))</f>
        <v>BUF</v>
      </c>
      <c r="C198" s="2" cm="1">
        <f t="array" ref="C198">IF(ISNA(_xlfn.XMATCH(A198,PURCHASE!$A:$A)),"先入料",SUMPRODUCT((PURCHASE!$A$2:$A$997=MAIN!A198)*PURCHASE!$C$2:$C$997)-SUMPRODUCT((CONSUME!$A$2:$A$992=MAIN!A198)*CONSUME!$C$2:$C$992))</f>
        <v>0</v>
      </c>
      <c r="D198" s="2">
        <f>IF(ISNA(_xlfn.XMATCH(A198,PURCHASE!$A:$A)),"先入料",_xlfn.XLOOKUP(A198,PURCHASE!A:A,PURCHASE!D:D))</f>
        <v>0</v>
      </c>
      <c r="E198" s="4" t="str">
        <f>HYPERLINK("https://www.digikey.tw/product-detail/zh/onsemi/NB6N11SMNR2G/NB6N11SMNR2GOSCT-ND/4927919", "NB6N11SMNR2G")</f>
        <v>NB6N11SMNR2G</v>
      </c>
      <c r="F198" s="4" t="str">
        <f>HYPERLINK("https://polarisphotonics-my.sharepoint.com/personal/bw_shiau_polarisphotonics_com/Documents/papers/IC/BUF/NB6N11S.pdf","pdf")</f>
        <v>pdf</v>
      </c>
      <c r="H198" s="10" t="s">
        <v>533</v>
      </c>
      <c r="M198" s="13">
        <v>1</v>
      </c>
      <c r="O198" t="s">
        <v>538</v>
      </c>
    </row>
    <row r="199" spans="1:15" x14ac:dyDescent="0.25">
      <c r="A199" t="s">
        <v>539</v>
      </c>
      <c r="B199" s="2" t="str">
        <f>IF(ISNA(_xlfn.XMATCH(A199,PURCHASE!$A:$A)),"先入料",_xlfn.XLOOKUP(A199,PURCHASE!A:A,PURCHASE!B:B))</f>
        <v>XTAL</v>
      </c>
      <c r="C199" s="2" cm="1">
        <f t="array" ref="C199">IF(ISNA(_xlfn.XMATCH(A199,PURCHASE!$A:$A)),"先入料",SUMPRODUCT((PURCHASE!$A$2:$A$997=MAIN!A199)*PURCHASE!$C$2:$C$997)-SUMPRODUCT((CONSUME!$A$2:$A$992=MAIN!A199)*CONSUME!$C$2:$C$992))</f>
        <v>0</v>
      </c>
      <c r="D199" s="2">
        <f>IF(ISNA(_xlfn.XMATCH(A199,PURCHASE!$A:$A)),"先入料",_xlfn.XLOOKUP(A199,PURCHASE!A:A,PURCHASE!D:D))</f>
        <v>0</v>
      </c>
      <c r="E199" s="4" t="str">
        <f>HYPERLINK("https://www.digikey.tw/product-detail/zh/diodes-incorporated/HX3150003Q/HX3150003QDICT-ND/9952940", "HX3150003Q")</f>
        <v>HX3150003Q</v>
      </c>
      <c r="F199" s="4" t="str">
        <f>HYPERLINK("https://www.diodes.com/fcpfile/fcpdatasheet?file=/HX/HX3150003Q.pdf","pdf")</f>
        <v>pdf</v>
      </c>
      <c r="H199" s="10" t="s">
        <v>380</v>
      </c>
      <c r="M199" s="13">
        <v>1</v>
      </c>
      <c r="O199" t="s">
        <v>540</v>
      </c>
    </row>
    <row r="200" spans="1:15" x14ac:dyDescent="0.25">
      <c r="A200" t="s">
        <v>541</v>
      </c>
      <c r="B200" s="2" t="str">
        <f>IF(ISNA(_xlfn.XMATCH(A200,PURCHASE!$A:$A)),"先入料",_xlfn.XLOOKUP(A200,PURCHASE!A:A,PURCHASE!B:B))</f>
        <v>MEM</v>
      </c>
      <c r="C200" s="2" cm="1">
        <f t="array" ref="C200">IF(ISNA(_xlfn.XMATCH(A200,PURCHASE!$A:$A)),"先入料",SUMPRODUCT((PURCHASE!$A$2:$A$997=MAIN!A200)*PURCHASE!$C$2:$C$997)-SUMPRODUCT((CONSUME!$A$2:$A$992=MAIN!A200)*CONSUME!$C$2:$C$992))</f>
        <v>0</v>
      </c>
      <c r="D200" s="2">
        <f>IF(ISNA(_xlfn.XMATCH(A200,PURCHASE!$A:$A)),"先入料",_xlfn.XLOOKUP(A200,PURCHASE!A:A,PURCHASE!D:D))</f>
        <v>0</v>
      </c>
      <c r="E200" s="4" t="str">
        <f>HYPERLINK("https://www.digikey.tw/product-detail/zh/microchip-technology/34LC02-I-SN/34LC02-I-SN-ND/1635972", "34LC02-I/SN")</f>
        <v>34LC02-I/SN</v>
      </c>
      <c r="F200" s="4" t="str">
        <f>HYPERLINK("https://polarisphotonics-my.sharepoint.com/personal/bw_shiau_polarisphotonics_com/Documents/papers/IC/MEM/eeprom_SO8_2Kb.pdf","pdf")</f>
        <v>pdf</v>
      </c>
      <c r="H200" s="10" t="s">
        <v>533</v>
      </c>
      <c r="M200" s="13">
        <v>1</v>
      </c>
      <c r="O200" t="s">
        <v>542</v>
      </c>
    </row>
    <row r="201" spans="1:15" x14ac:dyDescent="0.25">
      <c r="A201" t="s">
        <v>543</v>
      </c>
      <c r="B201" s="2" t="str">
        <f>IF(ISNA(_xlfn.XMATCH(A201,PURCHASE!$A:$A)),"先入料",_xlfn.XLOOKUP(A201,PURCHASE!A:A,PURCHASE!B:B))</f>
        <v>BUF</v>
      </c>
      <c r="C201" s="2" cm="1">
        <f t="array" ref="C201">IF(ISNA(_xlfn.XMATCH(A201,PURCHASE!$A:$A)),"先入料",SUMPRODUCT((PURCHASE!$A$2:$A$997=MAIN!A201)*PURCHASE!$C$2:$C$997)-SUMPRODUCT((CONSUME!$A$2:$A$992=MAIN!A201)*CONSUME!$C$2:$C$992))</f>
        <v>0</v>
      </c>
      <c r="D201" s="2">
        <f>IF(ISNA(_xlfn.XMATCH(A201,PURCHASE!$A:$A)),"先入料",_xlfn.XLOOKUP(A201,PURCHASE!A:A,PURCHASE!D:D))</f>
        <v>0</v>
      </c>
      <c r="E201" s="4" t="str">
        <f>HYPERLINK("https://www.digikey.tw/product-detail/zh/onsemi/NB4N855SMR4G/NB4N855SMR4GOSCT-ND/2121175", "NB4N855SMR4G")</f>
        <v>NB4N855SMR4G</v>
      </c>
      <c r="F201" s="4" t="str">
        <f>HYPERLINK("https://polarisphotonics-my.sharepoint.com/personal/bw_shiau_polarisphotonics_com/Documents/papers/IC/BUF/NB4N855S.pdf","pdf")</f>
        <v>pdf</v>
      </c>
      <c r="H201" s="10" t="s">
        <v>533</v>
      </c>
      <c r="M201" s="13">
        <v>1</v>
      </c>
      <c r="O201" t="s">
        <v>544</v>
      </c>
    </row>
    <row r="202" spans="1:15" x14ac:dyDescent="0.25">
      <c r="A202" t="s">
        <v>545</v>
      </c>
      <c r="B202" s="2" t="str">
        <f>IF(ISNA(_xlfn.XMATCH(A202,PURCHASE!$A:$A)),"先入料",_xlfn.XLOOKUP(A202,PURCHASE!A:A,PURCHASE!B:B))</f>
        <v>MEM</v>
      </c>
      <c r="C202" s="2" cm="1">
        <f t="array" ref="C202">IF(ISNA(_xlfn.XMATCH(A202,PURCHASE!$A:$A)),"先入料",SUMPRODUCT((PURCHASE!$A$2:$A$997=MAIN!A202)*PURCHASE!$C$2:$C$997)-SUMPRODUCT((CONSUME!$A$2:$A$992=MAIN!A202)*CONSUME!$C$2:$C$992))</f>
        <v>0</v>
      </c>
      <c r="D202" s="2">
        <f>IF(ISNA(_xlfn.XMATCH(A202,PURCHASE!$A:$A)),"先入料",_xlfn.XLOOKUP(A202,PURCHASE!A:A,PURCHASE!D:D))</f>
        <v>0</v>
      </c>
      <c r="E202" s="4" t="str">
        <f>HYPERLINK("https://www.digikey.tw/products/zh?keywords=EPCQ64ASI16N", "EPCQ64ASI16N")</f>
        <v>EPCQ64ASI16N</v>
      </c>
      <c r="F202" s="4" t="str">
        <f>HYPERLINK("https://polarisphotonics-my.sharepoint.com/personal/bw_shiau_polarisphotonics_com/Documents/papers/IC/MEM/epcq.pdf","pdf")</f>
        <v>pdf</v>
      </c>
      <c r="H202" s="10" t="s">
        <v>533</v>
      </c>
      <c r="M202" s="13">
        <v>1</v>
      </c>
      <c r="O202" t="s">
        <v>546</v>
      </c>
    </row>
    <row r="203" spans="1:15" x14ac:dyDescent="0.25">
      <c r="A203" t="s">
        <v>547</v>
      </c>
      <c r="B203" s="2" t="str">
        <f>IF(ISNA(_xlfn.XMATCH(A203,PURCHASE!$A:$A)),"先入料",_xlfn.XLOOKUP(A203,PURCHASE!A:A,PURCHASE!B:B))</f>
        <v>MEM</v>
      </c>
      <c r="C203" s="2" cm="1">
        <f t="array" ref="C203">IF(ISNA(_xlfn.XMATCH(A203,PURCHASE!$A:$A)),"先入料",SUMPRODUCT((PURCHASE!$A$2:$A$997=MAIN!A203)*PURCHASE!$C$2:$C$997)-SUMPRODUCT((CONSUME!$A$2:$A$992=MAIN!A203)*CONSUME!$C$2:$C$992))</f>
        <v>0</v>
      </c>
      <c r="D203" s="2">
        <f>IF(ISNA(_xlfn.XMATCH(A203,PURCHASE!$A:$A)),"先入料",_xlfn.XLOOKUP(A203,PURCHASE!A:A,PURCHASE!D:D))</f>
        <v>0</v>
      </c>
      <c r="E203" s="4" t="str">
        <f>HYPERLINK("https://www.digikey.tw/product-detail/zh/issi-integrated-silicon-solution-inc/IS42VM16160K-75BLI/706-1313-ND/4834512", "IS42VM16160K-75BLI")</f>
        <v>IS42VM16160K-75BLI</v>
      </c>
      <c r="F203" s="4" t="str">
        <f>HYPERLINK("https://polarisphotonics-my.sharepoint.com/personal/bw_shiau_polarisphotonics_com/Documents/papers/IC/MEM/sdram_ISSI_4M_16bits_4bk.pdf","pdf")</f>
        <v>pdf</v>
      </c>
      <c r="H203" s="10" t="s">
        <v>533</v>
      </c>
      <c r="M203" s="13">
        <v>1</v>
      </c>
      <c r="O203" t="s">
        <v>548</v>
      </c>
    </row>
    <row r="204" spans="1:15" x14ac:dyDescent="0.25">
      <c r="A204" t="s">
        <v>550</v>
      </c>
      <c r="B204" s="2" t="str">
        <f>IF(ISNA(_xlfn.XMATCH(A204,PURCHASE!$A:$A)),"先入料",_xlfn.XLOOKUP(A204,PURCHASE!A:A,PURCHASE!B:B))</f>
        <v>XTAL</v>
      </c>
      <c r="C204" s="2" cm="1">
        <f t="array" ref="C204">IF(ISNA(_xlfn.XMATCH(A204,PURCHASE!$A:$A)),"先入料",SUMPRODUCT((PURCHASE!$A$2:$A$997=MAIN!A204)*PURCHASE!$C$2:$C$997)-SUMPRODUCT((CONSUME!$A$2:$A$992=MAIN!A204)*CONSUME!$C$2:$C$992))</f>
        <v>0</v>
      </c>
      <c r="D204" s="2">
        <f>IF(ISNA(_xlfn.XMATCH(A204,PURCHASE!$A:$A)),"先入料",_xlfn.XLOOKUP(A204,PURCHASE!A:A,PURCHASE!D:D))</f>
        <v>0</v>
      </c>
      <c r="E204" s="4" t="str">
        <f>HYPERLINK("https://www.digikey.tw/product-detail/zh/microchip-technology/DSC1123BL5-125-0000/DSC1123BL5-125-0000-ND/7732598", "DSC1123BL5-125.0000")</f>
        <v>DSC1123BL5-125.0000</v>
      </c>
      <c r="F204" s="4" t="str">
        <f>HYPERLINK("https://polarisphotonics-my.sharepoint.com/personal/bw_shiau_polarisphotonics_com/Documents/papers/IC/XTAL/MCHP-S-A0006612827-1.pdf","pdf")</f>
        <v>pdf</v>
      </c>
      <c r="H204" s="10" t="s">
        <v>533</v>
      </c>
      <c r="O204" t="s">
        <v>551</v>
      </c>
    </row>
    <row r="205" spans="1:15" x14ac:dyDescent="0.25">
      <c r="A205" t="s">
        <v>552</v>
      </c>
      <c r="B205" s="2" t="str">
        <f>IF(ISNA(_xlfn.XMATCH(A205,PURCHASE!$A:$A)),"先入料",_xlfn.XLOOKUP(A205,PURCHASE!A:A,PURCHASE!B:B))</f>
        <v>先入料</v>
      </c>
      <c r="C205" s="2" t="str" cm="1">
        <f t="array" ref="C205">IF(ISNA(_xlfn.XMATCH(A205,PURCHASE!$A:$A)),"先入料",SUMPRODUCT((PURCHASE!$A$2:$A$997=MAIN!A205)*PURCHASE!$C$2:$C$997)-SUMPRODUCT((CONSUME!$A$2:$A$992=MAIN!A205)*CONSUME!$C$2:$C$992))</f>
        <v>先入料</v>
      </c>
      <c r="D205" s="2" t="str">
        <f>IF(ISNA(_xlfn.XMATCH(A205,PURCHASE!$A:$A)),"先入料",_xlfn.XLOOKUP(A205,PURCHASE!A:A,PURCHASE!D:D))</f>
        <v>先入料</v>
      </c>
      <c r="E205" s="4" t="str">
        <f>HYPERLINK("https://www.digikey.tw/products/zh?keywords=CDSOT23-SM712CT-ND", "CDSOT23-SM712")</f>
        <v>CDSOT23-SM712</v>
      </c>
      <c r="F205" s="4" t="str">
        <f>HYPERLINK("https://www.bourns.com/docs/Product-Datasheets/CDSOT23-SM712.pdf","pdf")</f>
        <v>pdf</v>
      </c>
      <c r="H205" s="10" t="s">
        <v>500</v>
      </c>
      <c r="O205" t="s">
        <v>553</v>
      </c>
    </row>
    <row r="206" spans="1:15" x14ac:dyDescent="0.25">
      <c r="A206" t="s">
        <v>561</v>
      </c>
      <c r="B206" s="2" t="str">
        <f>IF(ISNA(_xlfn.XMATCH(A206,PURCHASE!$A:$A)),"先入料",_xlfn.XLOOKUP(A206,PURCHASE!A:A,PURCHASE!B:B))</f>
        <v>MEM</v>
      </c>
      <c r="C206" s="2" cm="1">
        <f t="array" ref="C206">IF(ISNA(_xlfn.XMATCH(A206,PURCHASE!$A:$A)),"先入料",SUMPRODUCT((PURCHASE!$A$2:$A$997=MAIN!A206)*PURCHASE!$C$2:$C$997)-SUMPRODUCT((CONSUME!$A$2:$A$992=MAIN!A206)*CONSUME!$C$2:$C$992))</f>
        <v>20</v>
      </c>
      <c r="D206" s="2" t="str">
        <f>IF(ISNA(_xlfn.XMATCH(A206,PURCHASE!$A:$A)),"先入料",_xlfn.XLOOKUP(A206,PURCHASE!A:A,PURCHASE!D:D))</f>
        <v>A9-1</v>
      </c>
      <c r="E206" s="4" t="str">
        <f>HYPERLINK("https://www.digikey.tw/zh/products/detail/microchip-technology/24AA32AT-I-MC/857475", "24AA32AT-I/MC")</f>
        <v>24AA32AT-I/MC</v>
      </c>
      <c r="F206" s="4" t="str">
        <f>HYPERLINK("https://polarisphotonics-my.sharepoint.com/personal/bw_shiau_polarisphotonics_com/Documents/papers/IC/MEM/eeprom_DFN-8_32Kb.pdf","pdf")</f>
        <v>pdf</v>
      </c>
      <c r="H206" s="10" t="s">
        <v>380</v>
      </c>
      <c r="J206" s="13">
        <v>1</v>
      </c>
      <c r="O206" t="s">
        <v>562</v>
      </c>
    </row>
    <row r="207" spans="1:15" x14ac:dyDescent="0.25">
      <c r="A207" t="s">
        <v>563</v>
      </c>
      <c r="B207" s="2" t="str">
        <f>IF(ISNA(_xlfn.XMATCH(A207,PURCHASE!$A:$A)),"先入料",_xlfn.XLOOKUP(A207,PURCHASE!A:A,PURCHASE!B:B))</f>
        <v>XTAL</v>
      </c>
      <c r="C207" s="2" cm="1">
        <f t="array" ref="C207">IF(ISNA(_xlfn.XMATCH(A207,PURCHASE!$A:$A)),"先入料",SUMPRODUCT((PURCHASE!$A$2:$A$997=MAIN!A207)*PURCHASE!$C$2:$C$997)-SUMPRODUCT((CONSUME!$A$2:$A$992=MAIN!A207)*CONSUME!$C$2:$C$992))</f>
        <v>0</v>
      </c>
      <c r="D207" s="2" t="str">
        <f>IF(ISNA(_xlfn.XMATCH(A207,PURCHASE!$A:$A)),"先入料",_xlfn.XLOOKUP(A207,PURCHASE!A:A,PURCHASE!D:D))</f>
        <v>D3-2</v>
      </c>
      <c r="E207" s="4" t="str">
        <f>HYPERLINK("https://www.digikey.tw/zh/products/detail/abracon-llc/ASEMB-125-000MHZ-XY-T/2623878", "ASEMB-125.000MHZ-XY-T")</f>
        <v>ASEMB-125.000MHZ-XY-T</v>
      </c>
      <c r="F207" s="4" t="str">
        <f>HYPERLINK("https://polarisphotonics-my.sharepoint.com/personal/bw_shiau_polarisphotonics_com/Documents/papers/IC/XTAL/ASEMB.pdf","pdf")</f>
        <v>pdf</v>
      </c>
      <c r="H207" s="10" t="s">
        <v>380</v>
      </c>
      <c r="J207" s="13">
        <v>1</v>
      </c>
      <c r="O207" t="s">
        <v>564</v>
      </c>
    </row>
    <row r="208" spans="1:15" x14ac:dyDescent="0.25">
      <c r="A208" t="s">
        <v>565</v>
      </c>
      <c r="B208" s="2" t="str">
        <f>IF(ISNA(_xlfn.XMATCH(A208,PURCHASE!$A:$A)),"先入料",_xlfn.XLOOKUP(A208,PURCHASE!A:A,PURCHASE!B:B))</f>
        <v>C</v>
      </c>
      <c r="C208" s="2" cm="1">
        <f t="array" ref="C208">IF(ISNA(_xlfn.XMATCH(A208,PURCHASE!$A:$A)),"先入料",SUMPRODUCT((PURCHASE!$A$2:$A$997=MAIN!A208)*PURCHASE!$C$2:$C$997)-SUMPRODUCT((CONSUME!$A$2:$A$992=MAIN!A208)*CONSUME!$C$2:$C$992))</f>
        <v>0</v>
      </c>
      <c r="D208" s="2">
        <f>IF(ISNA(_xlfn.XMATCH(A208,PURCHASE!$A:$A)),"先入料",_xlfn.XLOOKUP(A208,PURCHASE!A:A,PURCHASE!D:D))</f>
        <v>0</v>
      </c>
      <c r="E208" s="4" t="str">
        <f>HYPERLINK("https://www.digikey.tw/zh/products/detail/murata-electronics/GCM188R71H472KA37D/1765180", "GCM188R71H472KA37D")</f>
        <v>GCM188R71H472KA37D</v>
      </c>
      <c r="F208" s="4" t="str">
        <f>HYPERLINK("https://www.murata.com/-/media/webrenewal/support/library/catalog/products/capacitor/ceramiccapacitor/c03e.ashx?la=en-us&amp;cvid=20200707014404000000","pdf")</f>
        <v>pdf</v>
      </c>
      <c r="H208" s="10" t="s">
        <v>380</v>
      </c>
      <c r="O208" t="s">
        <v>569</v>
      </c>
    </row>
    <row r="209" spans="1:15" x14ac:dyDescent="0.25">
      <c r="A209" t="s">
        <v>566</v>
      </c>
      <c r="B209" s="2" t="str">
        <f>IF(ISNA(_xlfn.XMATCH(A209,PURCHASE!$A:$A)),"先入料",_xlfn.XLOOKUP(A209,PURCHASE!A:A,PURCHASE!B:B))</f>
        <v>R</v>
      </c>
      <c r="C209" s="2" cm="1">
        <f t="array" ref="C209">IF(ISNA(_xlfn.XMATCH(A209,PURCHASE!$A:$A)),"先入料",SUMPRODUCT((PURCHASE!$A$2:$A$997=MAIN!A209)*PURCHASE!$C$2:$C$997)-SUMPRODUCT((CONSUME!$A$2:$A$992=MAIN!A209)*CONSUME!$C$2:$C$992))</f>
        <v>0</v>
      </c>
      <c r="D209" s="2">
        <f>IF(ISNA(_xlfn.XMATCH(A209,PURCHASE!$A:$A)),"先入料",_xlfn.XLOOKUP(A209,PURCHASE!A:A,PURCHASE!D:D))</f>
        <v>0</v>
      </c>
      <c r="E209" s="4" t="str">
        <f>HYPERLINK("https://www.digikey.tw/zh/products/detail/yageo/RC0603FR-0751RL/727281","RC0603FR-0751RL")</f>
        <v>RC0603FR-0751RL</v>
      </c>
      <c r="F209" s="4" t="str">
        <f>HYPERLINK("https://www.yageo.com/upload/media/product/productsearch/datasheet/rchip/PYu-RC_Group_51_RoHS_L_11.pdf","pdf")</f>
        <v>pdf</v>
      </c>
      <c r="H209" s="10" t="s">
        <v>380</v>
      </c>
      <c r="J209" s="13">
        <v>1</v>
      </c>
      <c r="O209" t="s">
        <v>568</v>
      </c>
    </row>
    <row r="210" spans="1:15" x14ac:dyDescent="0.25">
      <c r="A210" t="s">
        <v>570</v>
      </c>
      <c r="B210" s="2" t="str">
        <f>IF(ISNA(_xlfn.XMATCH(A210,PURCHASE!$A:$A)),"先入料",_xlfn.XLOOKUP(A210,PURCHASE!A:A,PURCHASE!B:B))</f>
        <v>PCB</v>
      </c>
      <c r="C210" s="2" cm="1">
        <f t="array" ref="C210">IF(ISNA(_xlfn.XMATCH(A210,PURCHASE!$A:$A)),"先入料",SUMPRODUCT((PURCHASE!$A$2:$A$997=MAIN!A210)*PURCHASE!$C$2:$C$997)-SUMPRODUCT((CONSUME!$A$2:$A$992=MAIN!A210)*CONSUME!$C$2:$C$992))</f>
        <v>0</v>
      </c>
      <c r="D210" s="2">
        <f>IF(ISNA(_xlfn.XMATCH(A210,PURCHASE!$A:$A)),"先入料",_xlfn.XLOOKUP(A210,PURCHASE!A:A,PURCHASE!D:D))</f>
        <v>0</v>
      </c>
      <c r="H210" s="10" t="s">
        <v>380</v>
      </c>
      <c r="J210" s="13">
        <v>1</v>
      </c>
      <c r="O210" t="s">
        <v>571</v>
      </c>
    </row>
    <row r="211" spans="1:15" x14ac:dyDescent="0.25">
      <c r="A211" t="s">
        <v>576</v>
      </c>
      <c r="B211" s="2" t="str">
        <f>IF(ISNA(_xlfn.XMATCH(A211,PURCHASE!$A:$A)),"先入料",_xlfn.XLOOKUP(A211,PURCHASE!A:A,PURCHASE!B:B))</f>
        <v>C</v>
      </c>
      <c r="C211" s="2" cm="1">
        <f t="array" ref="C211">IF(ISNA(_xlfn.XMATCH(A211,PURCHASE!$A:$A)),"先入料",SUMPRODUCT((PURCHASE!$A$2:$A$997=MAIN!A211)*PURCHASE!$C$2:$C$997)-SUMPRODUCT((CONSUME!$A$2:$A$992=MAIN!A211)*CONSUME!$C$2:$C$992))</f>
        <v>48</v>
      </c>
      <c r="D211" s="2" t="str">
        <f>IF(ISNA(_xlfn.XMATCH(A211,PURCHASE!$A:$A)),"先入料",_xlfn.XLOOKUP(A211,PURCHASE!A:A,PURCHASE!D:D))</f>
        <v>C4</v>
      </c>
      <c r="E211" s="4" t="str">
        <f>HYPERLINK("https://www.digikey.tw/zh/products/detail/murata-electronics/GCM155R71H272KA37D/7362937", "GCM155R71H272KA37D")</f>
        <v>GCM155R71H272KA37D</v>
      </c>
      <c r="F211" s="4" t="str">
        <f>HYPERLINK("https://search.murata.co.jp/Ceramy/image/img/A01X/G101/ENG/GCM155R71H272KA37-01.pdf","pdf")</f>
        <v>pdf</v>
      </c>
      <c r="H211" s="10" t="s">
        <v>380</v>
      </c>
      <c r="I211" s="13">
        <v>13</v>
      </c>
      <c r="K211"/>
      <c r="L211"/>
      <c r="M211"/>
      <c r="N211"/>
      <c r="O211" t="s">
        <v>577</v>
      </c>
    </row>
    <row r="212" spans="1:15" x14ac:dyDescent="0.25">
      <c r="A212" t="s">
        <v>578</v>
      </c>
      <c r="B212" s="2" t="str">
        <f>IF(ISNA(_xlfn.XMATCH(A212,PURCHASE!$A:$A)),"先入料",_xlfn.XLOOKUP(A212,PURCHASE!A:A,PURCHASE!B:B))</f>
        <v>C</v>
      </c>
      <c r="C212" s="2" cm="1">
        <f t="array" ref="C212">IF(ISNA(_xlfn.XMATCH(A212,PURCHASE!$A:$A)),"先入料",SUMPRODUCT((PURCHASE!$A$2:$A$997=MAIN!A212)*PURCHASE!$C$2:$C$997)-SUMPRODUCT((CONSUME!$A$2:$A$992=MAIN!A212)*CONSUME!$C$2:$C$992))</f>
        <v>49</v>
      </c>
      <c r="D212" s="2" t="str">
        <f>IF(ISNA(_xlfn.XMATCH(A212,PURCHASE!$A:$A)),"先入料",_xlfn.XLOOKUP(A212,PURCHASE!A:A,PURCHASE!D:D))</f>
        <v>C4</v>
      </c>
      <c r="E212" s="4" t="str">
        <f>HYPERLINK("https://www.digikey.tw/zh/products/detail/murata-electronics/GRM155R71H182KA01D/702511", "GRM155R71H182KA01D")</f>
        <v>GRM155R71H182KA01D</v>
      </c>
      <c r="F212" s="4" t="str">
        <f>HYPERLINK("https://search.murata.co.jp/Ceramy/image/img/A01X/G101/ENG/GCM155R71H272KA37-01.pdf","pdf")</f>
        <v>pdf</v>
      </c>
      <c r="H212" s="10" t="s">
        <v>380</v>
      </c>
      <c r="O212" t="s">
        <v>579</v>
      </c>
    </row>
    <row r="213" spans="1:15" x14ac:dyDescent="0.25">
      <c r="A213" t="s">
        <v>590</v>
      </c>
      <c r="B213" s="2" t="str">
        <f>IF(ISNA(_xlfn.XMATCH(A213,PURCHASE!$A:$A)),"先入料",_xlfn.XLOOKUP(A213,PURCHASE!A:A,PURCHASE!B:B))</f>
        <v>XTAL</v>
      </c>
      <c r="C213" s="2" cm="1">
        <f t="array" ref="C213">IF(ISNA(_xlfn.XMATCH(A213,PURCHASE!$A:$A)),"先入料",SUMPRODUCT((PURCHASE!$A$2:$A$997=MAIN!A213)*PURCHASE!$C$2:$C$997)-SUMPRODUCT((CONSUME!$A$2:$A$992=MAIN!A213)*CONSUME!$C$2:$C$992))</f>
        <v>35</v>
      </c>
      <c r="D213" s="2" t="str">
        <f>IF(ISNA(_xlfn.XMATCH(A213,PURCHASE!$A:$A)),"先入料",_xlfn.XLOOKUP(A213,PURCHASE!A:A,PURCHASE!D:D))</f>
        <v>D3-2</v>
      </c>
      <c r="E213" s="4" t="str">
        <f>HYPERLINK("https://www.digikey.tw/zh/products/detail/ilsi/ISM97-1251AH-50-000MHZ/12618241", "ISM97-1251AH-50.000MHZ")</f>
        <v>ISM97-1251AH-50.000MHZ</v>
      </c>
      <c r="F213" s="4" t="str">
        <f>HYPERLINK("https://polarisphotonics-my.sharepoint.com/personal/bw_shiau_polarisphotonics_com/Documents/papers/IC/XTAL/ISM97_50M.pdf","pdf")</f>
        <v>pdf</v>
      </c>
      <c r="H213" s="10" t="s">
        <v>380</v>
      </c>
      <c r="J213" s="13">
        <v>0</v>
      </c>
      <c r="O213" t="s">
        <v>591</v>
      </c>
    </row>
    <row r="214" spans="1:15" x14ac:dyDescent="0.25">
      <c r="A214" t="s">
        <v>595</v>
      </c>
      <c r="B214" s="2" t="str">
        <f>IF(ISNA(_xlfn.XMATCH(A214,PURCHASE!$A:$A)),"先入料",_xlfn.XLOOKUP(A214,PURCHASE!A:A,PURCHASE!B:B))</f>
        <v>ADC</v>
      </c>
      <c r="C214" s="2" cm="1">
        <f t="array" ref="C214">IF(ISNA(_xlfn.XMATCH(A214,PURCHASE!$A:$A)),"先入料",SUMPRODUCT((PURCHASE!$A$2:$A$997=MAIN!A214)*PURCHASE!$C$2:$C$997)-SUMPRODUCT((CONSUME!$A$2:$A$992=MAIN!A214)*CONSUME!$C$2:$C$992))</f>
        <v>0</v>
      </c>
      <c r="D214" s="2">
        <f>IF(ISNA(_xlfn.XMATCH(A214,PURCHASE!$A:$A)),"先入料",_xlfn.XLOOKUP(A214,PURCHASE!A:A,PURCHASE!D:D))</f>
        <v>0</v>
      </c>
      <c r="E214" s="4" t="str">
        <f>HYPERLINK("https://www.digikey.tw/zh/products/detail/analog-devices-inc/AD9245BCPZ-20/996719", "AD9245BCPZ-20")</f>
        <v>AD9245BCPZ-20</v>
      </c>
      <c r="O214" t="s">
        <v>599</v>
      </c>
    </row>
    <row r="215" spans="1:15" x14ac:dyDescent="0.25">
      <c r="A215" t="s">
        <v>596</v>
      </c>
      <c r="B215" s="2" t="str">
        <f>IF(ISNA(_xlfn.XMATCH(A215,PURCHASE!$A:$A)),"先入料",_xlfn.XLOOKUP(A215,PURCHASE!A:A,PURCHASE!B:B))</f>
        <v>ADC</v>
      </c>
      <c r="C215" s="2" cm="1">
        <f t="array" ref="C215">IF(ISNA(_xlfn.XMATCH(A215,PURCHASE!$A:$A)),"先入料",SUMPRODUCT((PURCHASE!$A$2:$A$997=MAIN!A215)*PURCHASE!$C$2:$C$997)-SUMPRODUCT((CONSUME!$A$2:$A$992=MAIN!A215)*CONSUME!$C$2:$C$992))</f>
        <v>0</v>
      </c>
      <c r="D215" s="2">
        <f>IF(ISNA(_xlfn.XMATCH(A215,PURCHASE!$A:$A)),"先入料",_xlfn.XLOOKUP(A215,PURCHASE!A:A,PURCHASE!D:D))</f>
        <v>0</v>
      </c>
      <c r="E215" s="4" t="str">
        <f>HYPERLINK("https://www.digikey.tw/zh/products/detail/analog-devices-inc/AD9245BCPZ-40/996714", "AD9245BCPZ-40")</f>
        <v>AD9245BCPZ-40</v>
      </c>
      <c r="O215" t="s">
        <v>599</v>
      </c>
    </row>
    <row r="216" spans="1:15" x14ac:dyDescent="0.25">
      <c r="A216" t="s">
        <v>597</v>
      </c>
      <c r="B216" s="2" t="str">
        <f>IF(ISNA(_xlfn.XMATCH(A216,PURCHASE!$A:$A)),"先入料",_xlfn.XLOOKUP(A216,PURCHASE!A:A,PURCHASE!B:B))</f>
        <v>ADC</v>
      </c>
      <c r="C216" s="2" cm="1">
        <f t="array" ref="C216">IF(ISNA(_xlfn.XMATCH(A216,PURCHASE!$A:$A)),"先入料",SUMPRODUCT((PURCHASE!$A$2:$A$997=MAIN!A216)*PURCHASE!$C$2:$C$997)-SUMPRODUCT((CONSUME!$A$2:$A$992=MAIN!A216)*CONSUME!$C$2:$C$992))</f>
        <v>0</v>
      </c>
      <c r="D216" s="2">
        <f>IF(ISNA(_xlfn.XMATCH(A216,PURCHASE!$A:$A)),"先入料",_xlfn.XLOOKUP(A216,PURCHASE!A:A,PURCHASE!D:D))</f>
        <v>0</v>
      </c>
      <c r="E216" s="4" t="str">
        <f>HYPERLINK("https://www.digikey.tw/zh/products/detail/analog-devices-inc/AD9245BCPZ-65/996717", "AD9245BCPZ-65")</f>
        <v>AD9245BCPZ-65</v>
      </c>
      <c r="O216" t="s">
        <v>599</v>
      </c>
    </row>
    <row r="217" spans="1:15" x14ac:dyDescent="0.25">
      <c r="A217" t="s">
        <v>598</v>
      </c>
      <c r="B217" s="2" t="str">
        <f>IF(ISNA(_xlfn.XMATCH(A217,PURCHASE!$A:$A)),"先入料",_xlfn.XLOOKUP(A217,PURCHASE!A:A,PURCHASE!B:B))</f>
        <v>ADC</v>
      </c>
      <c r="C217" s="2" cm="1">
        <f t="array" ref="C217">IF(ISNA(_xlfn.XMATCH(A217,PURCHASE!$A:$A)),"先入料",SUMPRODUCT((PURCHASE!$A$2:$A$997=MAIN!A217)*PURCHASE!$C$2:$C$997)-SUMPRODUCT((CONSUME!$A$2:$A$992=MAIN!A217)*CONSUME!$C$2:$C$992))</f>
        <v>0</v>
      </c>
      <c r="D217" s="2">
        <f>IF(ISNA(_xlfn.XMATCH(A217,PURCHASE!$A:$A)),"先入料",_xlfn.XLOOKUP(A217,PURCHASE!A:A,PURCHASE!D:D))</f>
        <v>0</v>
      </c>
      <c r="E217" s="4" t="str">
        <f>HYPERLINK("https://www.digikey.tw/zh/products/detail/analog-devices-inc/AD9245BCPZ-80/13443306", "AD9245BCPZ-80")</f>
        <v>AD9245BCPZ-80</v>
      </c>
      <c r="O217" t="s">
        <v>599</v>
      </c>
    </row>
    <row r="218" spans="1:15" x14ac:dyDescent="0.25">
      <c r="A218" t="s">
        <v>600</v>
      </c>
      <c r="B218" s="2" t="str">
        <f>IF(ISNA(_xlfn.XMATCH(A218,PURCHASE!$A:$A)),"先入料",_xlfn.XLOOKUP(A218,PURCHASE!A:A,PURCHASE!B:B))</f>
        <v>ADC</v>
      </c>
      <c r="C218" s="2" cm="1">
        <f t="array" ref="C218">IF(ISNA(_xlfn.XMATCH(A218,PURCHASE!$A:$A)),"先入料",SUMPRODUCT((PURCHASE!$A$2:$A$997=MAIN!A218)*PURCHASE!$C$2:$C$997)-SUMPRODUCT((CONSUME!$A$2:$A$992=MAIN!A218)*CONSUME!$C$2:$C$992))</f>
        <v>0</v>
      </c>
      <c r="D218" s="2">
        <f>IF(ISNA(_xlfn.XMATCH(A218,PURCHASE!$A:$A)),"先入料",_xlfn.XLOOKUP(A218,PURCHASE!A:A,PURCHASE!D:D))</f>
        <v>0</v>
      </c>
      <c r="E218" s="4" t="str">
        <f>HYPERLINK("https://www.digikey.tw/zh/products/detail/analog-devices-inc/AD9235BCPZ-20/996736", "AD9235BCPZ-20")</f>
        <v>AD9235BCPZ-20</v>
      </c>
      <c r="O218" t="s">
        <v>603</v>
      </c>
    </row>
    <row r="219" spans="1:15" x14ac:dyDescent="0.25">
      <c r="A219" t="s">
        <v>601</v>
      </c>
      <c r="B219" s="2" t="str">
        <f>IF(ISNA(_xlfn.XMATCH(A219,PURCHASE!$A:$A)),"先入料",_xlfn.XLOOKUP(A219,PURCHASE!A:A,PURCHASE!B:B))</f>
        <v>ADC</v>
      </c>
      <c r="C219" s="2" cm="1">
        <f t="array" ref="C219">IF(ISNA(_xlfn.XMATCH(A219,PURCHASE!$A:$A)),"先入料",SUMPRODUCT((PURCHASE!$A$2:$A$997=MAIN!A219)*PURCHASE!$C$2:$C$997)-SUMPRODUCT((CONSUME!$A$2:$A$992=MAIN!A219)*CONSUME!$C$2:$C$992))</f>
        <v>0</v>
      </c>
      <c r="D219" s="2">
        <f>IF(ISNA(_xlfn.XMATCH(A219,PURCHASE!$A:$A)),"先入料",_xlfn.XLOOKUP(A219,PURCHASE!A:A,PURCHASE!D:D))</f>
        <v>0</v>
      </c>
      <c r="E219" s="4" t="str">
        <f>HYPERLINK("https://www.digikey.tw/zh/products/detail/analog-devices-inc/AD9235BCPZ-40/996737", "AD9235BCPZ-40")</f>
        <v>AD9235BCPZ-40</v>
      </c>
      <c r="O219" t="s">
        <v>603</v>
      </c>
    </row>
    <row r="220" spans="1:15" x14ac:dyDescent="0.25">
      <c r="A220" t="s">
        <v>602</v>
      </c>
      <c r="B220" s="2" t="str">
        <f>IF(ISNA(_xlfn.XMATCH(A220,PURCHASE!$A:$A)),"先入料",_xlfn.XLOOKUP(A220,PURCHASE!A:A,PURCHASE!B:B))</f>
        <v>ADC</v>
      </c>
      <c r="C220" s="2" cm="1">
        <f t="array" ref="C220">IF(ISNA(_xlfn.XMATCH(A220,PURCHASE!$A:$A)),"先入料",SUMPRODUCT((PURCHASE!$A$2:$A$997=MAIN!A220)*PURCHASE!$C$2:$C$997)-SUMPRODUCT((CONSUME!$A$2:$A$992=MAIN!A220)*CONSUME!$C$2:$C$992))</f>
        <v>0</v>
      </c>
      <c r="D220" s="2">
        <f>IF(ISNA(_xlfn.XMATCH(A220,PURCHASE!$A:$A)),"先入料",_xlfn.XLOOKUP(A220,PURCHASE!A:A,PURCHASE!D:D))</f>
        <v>0</v>
      </c>
      <c r="E220" s="4" t="str">
        <f>HYPERLINK("https://www.digikey.tw/zh/products/detail/analog-devices-inc/AD9235BCPZ-65/671136", "AD9235BCPZ-65")</f>
        <v>AD9235BCPZ-65</v>
      </c>
      <c r="O220" t="s">
        <v>603</v>
      </c>
    </row>
    <row r="221" spans="1:15" x14ac:dyDescent="0.25">
      <c r="A221" t="s">
        <v>604</v>
      </c>
      <c r="B221" s="2" t="str">
        <f>IF(ISNA(_xlfn.XMATCH(A221,PURCHASE!$A:$A)),"先入料",_xlfn.XLOOKUP(A221,PURCHASE!A:A,PURCHASE!B:B))</f>
        <v>OP</v>
      </c>
      <c r="C221" s="2" cm="1">
        <f t="array" ref="C221">IF(ISNA(_xlfn.XMATCH(A221,PURCHASE!$A:$A)),"先入料",SUMPRODUCT((PURCHASE!$A$2:$A$997=MAIN!A221)*PURCHASE!$C$2:$C$997)-SUMPRODUCT((CONSUME!$A$2:$A$992=MAIN!A221)*CONSUME!$C$2:$C$992))</f>
        <v>0</v>
      </c>
      <c r="D221" s="2">
        <f>IF(ISNA(_xlfn.XMATCH(A221,PURCHASE!$A:$A)),"先入料",_xlfn.XLOOKUP(A221,PURCHASE!A:A,PURCHASE!D:D))</f>
        <v>0</v>
      </c>
      <c r="E221" s="4" t="str">
        <f>HYPERLINK("https://www.digikey.tw/zh/products/detail/analog-devices-inc/AD8351ACPZ-R7/5175802?s=N4IgTCBcDaIIIBEAcBmArARhAXQL5A", "AD8351ACPZ-R7")</f>
        <v>AD8351ACPZ-R7</v>
      </c>
      <c r="O221" t="s">
        <v>605</v>
      </c>
    </row>
    <row r="222" spans="1:15" x14ac:dyDescent="0.25">
      <c r="A222" t="s">
        <v>606</v>
      </c>
      <c r="B222" s="2" t="str">
        <f>IF(ISNA(_xlfn.XMATCH(A222,PURCHASE!$A:$A)),"先入料",_xlfn.XLOOKUP(A222,PURCHASE!A:A,PURCHASE!B:B))</f>
        <v>POW</v>
      </c>
      <c r="C222" s="2" cm="1">
        <f t="array" ref="C222">IF(ISNA(_xlfn.XMATCH(A222,PURCHASE!$A:$A)),"先入料",SUMPRODUCT((PURCHASE!$A$2:$A$997=MAIN!A222)*PURCHASE!$C$2:$C$997)-SUMPRODUCT((CONSUME!$A$2:$A$992=MAIN!A222)*CONSUME!$C$2:$C$992))</f>
        <v>0</v>
      </c>
      <c r="D222" s="2">
        <f>IF(ISNA(_xlfn.XMATCH(A222,PURCHASE!$A:$A)),"先入料",_xlfn.XLOOKUP(A222,PURCHASE!A:A,PURCHASE!D:D))</f>
        <v>0</v>
      </c>
      <c r="E222" s="4" t="str">
        <f>HYPERLINK("https://www.digikey.tw/zh/products/detail/texas-instruments/TPS5430DDAR/1671816","TPS5430DDAR")</f>
        <v>TPS5430DDAR</v>
      </c>
      <c r="O222" t="s">
        <v>607</v>
      </c>
    </row>
    <row r="223" spans="1:15" x14ac:dyDescent="0.25">
      <c r="A223" t="s">
        <v>608</v>
      </c>
      <c r="B223" s="2" t="str">
        <f>IF(ISNA(_xlfn.XMATCH(A223,PURCHASE!$A:$A)),"先入料",_xlfn.XLOOKUP(A223,PURCHASE!A:A,PURCHASE!B:B))</f>
        <v>POW</v>
      </c>
      <c r="C223" s="2" cm="1">
        <f t="array" ref="C223">IF(ISNA(_xlfn.XMATCH(A223,PURCHASE!$A:$A)),"先入料",SUMPRODUCT((PURCHASE!$A$2:$A$997=MAIN!A223)*PURCHASE!$C$2:$C$997)-SUMPRODUCT((CONSUME!$A$2:$A$992=MAIN!A223)*CONSUME!$C$2:$C$992))</f>
        <v>0</v>
      </c>
      <c r="D223" s="2">
        <f>IF(ISNA(_xlfn.XMATCH(A223,PURCHASE!$A:$A)),"先入料",_xlfn.XLOOKUP(A223,PURCHASE!A:A,PURCHASE!D:D))</f>
        <v>0</v>
      </c>
      <c r="E223" s="4" t="str">
        <f>HYPERLINK("https://www.digikey.tw/zh/products/detail/analog-devices-inc/ADP2443ACPZN-R7/6557307?s=N4IgTCBcDaIIYBMAOYAsqDMIC6BfIA","ADP2443ACPZN-R7")</f>
        <v>ADP2443ACPZN-R7</v>
      </c>
      <c r="O223" t="s">
        <v>609</v>
      </c>
    </row>
    <row r="224" spans="1:15" x14ac:dyDescent="0.25">
      <c r="A224" t="s">
        <v>610</v>
      </c>
      <c r="B224" s="2" t="str">
        <f>IF(ISNA(_xlfn.XMATCH(A224,PURCHASE!$A:$A)),"先入料",_xlfn.XLOOKUP(A224,PURCHASE!A:A,PURCHASE!B:B))</f>
        <v>SER</v>
      </c>
      <c r="C224" s="2" cm="1">
        <f t="array" ref="C224">IF(ISNA(_xlfn.XMATCH(A224,PURCHASE!$A:$A)),"先入料",SUMPRODUCT((PURCHASE!$A$2:$A$997=MAIN!A224)*PURCHASE!$C$2:$C$997)-SUMPRODUCT((CONSUME!$A$2:$A$992=MAIN!A224)*CONSUME!$C$2:$C$992))</f>
        <v>8</v>
      </c>
      <c r="D224" s="2" t="str">
        <f>IF(ISNA(_xlfn.XMATCH(A224,PURCHASE!$A:$A)),"先入料",_xlfn.XLOOKUP(A224,PURCHASE!A:A,PURCHASE!D:D))</f>
        <v>B9</v>
      </c>
      <c r="E224" s="4" t="str">
        <f>HYPERLINK("https://www.digikey.tw/zh/products/detail/analog-devices-inc-maxim-integrated/MAX3490AEGSA/6181503","MAX3490AEGSA+")</f>
        <v>MAX3490AEGSA+</v>
      </c>
      <c r="F224" s="4" t="str">
        <f>HYPERLINK("https://polarisphotonics-my.sharepoint.com/personal/bw_shiau_polarisphotonics_com/Documents/papers/IC/Digital_TTL/MAX3490.pdf","pdf")</f>
        <v>pdf</v>
      </c>
      <c r="H224" s="10" t="s">
        <v>675</v>
      </c>
      <c r="J224" s="13">
        <v>1</v>
      </c>
      <c r="N224" s="13">
        <v>2</v>
      </c>
      <c r="O224" t="s">
        <v>611</v>
      </c>
    </row>
    <row r="225" spans="1:15" x14ac:dyDescent="0.25">
      <c r="A225" t="s">
        <v>612</v>
      </c>
      <c r="B225" s="2" t="str">
        <f>IF(ISNA(_xlfn.XMATCH(A225,PURCHASE!$A:$A)),"先入料",_xlfn.XLOOKUP(A225,PURCHASE!A:A,PURCHASE!B:B))</f>
        <v>SER</v>
      </c>
      <c r="C225" s="2" cm="1">
        <f t="array" ref="C225">IF(ISNA(_xlfn.XMATCH(A225,PURCHASE!$A:$A)),"先入料",SUMPRODUCT((PURCHASE!$A$2:$A$997=MAIN!A225)*PURCHASE!$C$2:$C$997)-SUMPRODUCT((CONSUME!$A$2:$A$992=MAIN!A225)*CONSUME!$C$2:$C$992))</f>
        <v>7</v>
      </c>
      <c r="D225" s="2" t="str">
        <f>IF(ISNA(_xlfn.XMATCH(A225,PURCHASE!$A:$A)),"先入料",_xlfn.XLOOKUP(A225,PURCHASE!A:A,PURCHASE!D:D))</f>
        <v>B9</v>
      </c>
      <c r="E225" s="4" t="str">
        <f>HYPERLINK("https://www.digikey.tw/zh/products/detail/analog-devices-inc-maxim-integrated/MAX3284EAUT-T/1515805","MAX3284EAUT+T")</f>
        <v>MAX3284EAUT+T</v>
      </c>
      <c r="F225" s="4" t="str">
        <f>HYPERLINK("https://polarisphotonics-my.sharepoint.com/personal/bw_shiau_polarisphotonics_com/Documents/papers/IC/Digital_TTL/MAX3284E.pdf","pdf")</f>
        <v>pdf</v>
      </c>
      <c r="H225" s="10" t="s">
        <v>380</v>
      </c>
      <c r="J225" s="13">
        <v>2</v>
      </c>
      <c r="O225" t="s">
        <v>613</v>
      </c>
    </row>
    <row r="226" spans="1:15" x14ac:dyDescent="0.25">
      <c r="A226" t="s">
        <v>614</v>
      </c>
      <c r="B226" s="2" t="str">
        <f>IF(ISNA(_xlfn.XMATCH(A226,PURCHASE!$A:$A)),"先入料",_xlfn.XLOOKUP(A226,PURCHASE!A:A,PURCHASE!B:B))</f>
        <v>SER</v>
      </c>
      <c r="C226" s="2" cm="1">
        <f t="array" ref="C226">IF(ISNA(_xlfn.XMATCH(A226,PURCHASE!$A:$A)),"先入料",SUMPRODUCT((PURCHASE!$A$2:$A$997=MAIN!A226)*PURCHASE!$C$2:$C$997)-SUMPRODUCT((CONSUME!$A$2:$A$992=MAIN!A226)*CONSUME!$C$2:$C$992))</f>
        <v>2</v>
      </c>
      <c r="D226" s="2" t="str">
        <f>IF(ISNA(_xlfn.XMATCH(A226,PURCHASE!$A:$A)),"先入料",_xlfn.XLOOKUP(A226,PURCHASE!A:A,PURCHASE!D:D))</f>
        <v>B9</v>
      </c>
      <c r="E226" s="4" t="str">
        <f>HYPERLINK("https://www.digikey.tw/zh/products/detail/analog-devices-inc-maxim-integrated/MAX3180EUK-T/1516332","MAX3180EUK+T")</f>
        <v>MAX3180EUK+T</v>
      </c>
      <c r="F226" s="4" t="str">
        <f>HYPERLINK("https://polarisphotonics-my.sharepoint.com/personal/bw_shiau_polarisphotonics_com/Documents/papers/IC/Digital_TTL/MAX3180E_RS232_recv.pdf","pdf")</f>
        <v>pdf</v>
      </c>
      <c r="H226" s="10" t="s">
        <v>668</v>
      </c>
      <c r="N226" s="13">
        <v>1</v>
      </c>
      <c r="O226" t="s">
        <v>615</v>
      </c>
    </row>
    <row r="227" spans="1:15" x14ac:dyDescent="0.25">
      <c r="A227" t="s">
        <v>616</v>
      </c>
      <c r="B227" s="2" t="str">
        <f>IF(ISNA(_xlfn.XMATCH(A227,PURCHASE!$A:$A)),"先入料",_xlfn.XLOOKUP(A227,PURCHASE!A:A,PURCHASE!B:B))</f>
        <v>POW</v>
      </c>
      <c r="C227" s="2" cm="1">
        <f t="array" ref="C227">IF(ISNA(_xlfn.XMATCH(A227,PURCHASE!$A:$A)),"先入料",SUMPRODUCT((PURCHASE!$A$2:$A$997=MAIN!A227)*PURCHASE!$C$2:$C$997)-SUMPRODUCT((CONSUME!$A$2:$A$992=MAIN!A227)*CONSUME!$C$2:$C$992))</f>
        <v>0</v>
      </c>
      <c r="D227" s="2" t="str">
        <f>IF(ISNA(_xlfn.XMATCH(A227,PURCHASE!$A:$A)),"先入料",_xlfn.XLOOKUP(A227,PURCHASE!A:A,PURCHASE!D:D))</f>
        <v>C8</v>
      </c>
      <c r="E227" s="4" t="str">
        <f>HYPERLINK("https://www.digikey.tw/zh/products/detail/analog-devices-inc/LTM8078IY/11312127","LTM8078EY#PBF")</f>
        <v>LTM8078EY#PBF</v>
      </c>
      <c r="F227" s="4" t="str">
        <f>HYPERLINK("https://polarisphotonics-my.sharepoint.com/personal/bw_shiau_polarisphotonics_com/Documents/papers/IC/PMIC/ltm8078_BUCK_dual Out.pdf","pdf")</f>
        <v>pdf</v>
      </c>
      <c r="H227" s="10" t="s">
        <v>621</v>
      </c>
      <c r="N227" s="13">
        <v>1</v>
      </c>
      <c r="O227" t="s">
        <v>617</v>
      </c>
    </row>
    <row r="228" spans="1:15" x14ac:dyDescent="0.25">
      <c r="A228" t="s">
        <v>618</v>
      </c>
      <c r="B228" s="2" t="str">
        <f>IF(ISNA(_xlfn.XMATCH(A228,PURCHASE!$A:$A)),"先入料",_xlfn.XLOOKUP(A228,PURCHASE!A:A,PURCHASE!B:B))</f>
        <v>POW</v>
      </c>
      <c r="C228" s="2" cm="1">
        <f t="array" ref="C228">IF(ISNA(_xlfn.XMATCH(A228,PURCHASE!$A:$A)),"先入料",SUMPRODUCT((PURCHASE!$A$2:$A$997=MAIN!A228)*PURCHASE!$C$2:$C$997)-SUMPRODUCT((CONSUME!$A$2:$A$992=MAIN!A228)*CONSUME!$C$2:$C$992))</f>
        <v>4</v>
      </c>
      <c r="D228" s="2" t="str">
        <f>IF(ISNA(_xlfn.XMATCH(A228,PURCHASE!$A:$A)),"先入料",_xlfn.XLOOKUP(A228,PURCHASE!A:A,PURCHASE!D:D))</f>
        <v>C8</v>
      </c>
      <c r="E228" s="4" t="str">
        <f>HYPERLINK("https://www.digikey.tw/zh/products/detail/analog-devices-inc/LTM8045IY-PBF/3883289","LTM8045IY#PBF")</f>
        <v>LTM8045IY#PBF</v>
      </c>
      <c r="F228" s="4" t="str">
        <f>HYPERLINK("https://polarisphotonics-my.sharepoint.com/personal/bw_shiau_polarisphotonics_com/Documents/papers/IC/PMIC/LTM8045_DCDC.pdf","pdf")</f>
        <v>pdf</v>
      </c>
      <c r="H228" s="10" t="s">
        <v>621</v>
      </c>
      <c r="N228" s="13">
        <v>2</v>
      </c>
      <c r="O228" t="s">
        <v>619</v>
      </c>
    </row>
    <row r="229" spans="1:15" x14ac:dyDescent="0.25">
      <c r="A229" t="s">
        <v>620</v>
      </c>
      <c r="B229" s="2" t="str">
        <f>IF(ISNA(_xlfn.XMATCH(A229,PURCHASE!$A:$A)),"先入料",_xlfn.XLOOKUP(A229,PURCHASE!A:A,PURCHASE!B:B))</f>
        <v>C</v>
      </c>
      <c r="C229" s="2" cm="1">
        <f t="array" ref="C229">IF(ISNA(_xlfn.XMATCH(A229,PURCHASE!$A:$A)),"先入料",SUMPRODUCT((PURCHASE!$A$2:$A$997=MAIN!A229)*PURCHASE!$C$2:$C$997)-SUMPRODUCT((CONSUME!$A$2:$A$992=MAIN!A229)*CONSUME!$C$2:$C$992))</f>
        <v>0</v>
      </c>
      <c r="D229" s="2">
        <f>IF(ISNA(_xlfn.XMATCH(A229,PURCHASE!$A:$A)),"先入料",_xlfn.XLOOKUP(A229,PURCHASE!A:A,PURCHASE!D:D))</f>
        <v>0</v>
      </c>
      <c r="E229" s="4" t="str">
        <f>HYPERLINK("https://www.digikey.tw/zh/products/detail/murata-electronics/GRM21BR61H475KE51L/4905540?s=N4IgTCBcDaIOICUCyYCMAhBA2VAJALAOwCsA0gKLGoAyIAugL5A", "GRM21BR61H475KE51L")</f>
        <v>GRM21BR61H475KE51L</v>
      </c>
      <c r="F229" s="4" t="str">
        <f>HYPERLINK("https://search.murata.co.jp/Ceramy/image/img/A01X/G101/ENG/GRM21BR61H475KE51-01.pdf","pdf")</f>
        <v>pdf</v>
      </c>
      <c r="H229" s="10" t="s">
        <v>621</v>
      </c>
      <c r="N229" s="13">
        <v>4</v>
      </c>
      <c r="O229" t="s">
        <v>623</v>
      </c>
    </row>
    <row r="230" spans="1:15" x14ac:dyDescent="0.25">
      <c r="A230" t="s">
        <v>625</v>
      </c>
      <c r="B230" s="2" t="str">
        <f>IF(ISNA(_xlfn.XMATCH(A230,PURCHASE!$A:$A)),"先入料",_xlfn.XLOOKUP(A230,PURCHASE!A:A,PURCHASE!B:B))</f>
        <v>C</v>
      </c>
      <c r="C230" s="2" cm="1">
        <f t="array" ref="C230">IF(ISNA(_xlfn.XMATCH(A230,PURCHASE!$A:$A)),"先入料",SUMPRODUCT((PURCHASE!$A$2:$A$997=MAIN!A230)*PURCHASE!$C$2:$C$997)-SUMPRODUCT((CONSUME!$A$2:$A$992=MAIN!A230)*CONSUME!$C$2:$C$992))</f>
        <v>0</v>
      </c>
      <c r="D230" s="2">
        <f>IF(ISNA(_xlfn.XMATCH(A230,PURCHASE!$A:$A)),"先入料",_xlfn.XLOOKUP(A230,PURCHASE!A:A,PURCHASE!D:D))</f>
        <v>0</v>
      </c>
      <c r="E230" s="4" t="str">
        <f>HYPERLINK("https://www.digikey.tw/zh/products/detail/murata-electronics/GRM21BR61A476ME15L/4905529", "GRM21BR61A476ME15L")</f>
        <v>GRM21BR61A476ME15L</v>
      </c>
      <c r="F230" s="4" t="str">
        <f>HYPERLINK("https://search.murata.co.jp/Ceramy/image/img/A01X/G101/ENG/GRM21BR61A476ME15-01.pdf","pdf")</f>
        <v>pdf</v>
      </c>
      <c r="H230" s="10" t="s">
        <v>621</v>
      </c>
      <c r="N230" s="13">
        <v>4</v>
      </c>
      <c r="O230" t="s">
        <v>626</v>
      </c>
    </row>
    <row r="231" spans="1:15" x14ac:dyDescent="0.25">
      <c r="A231" t="s">
        <v>643</v>
      </c>
      <c r="B231" s="2" t="str">
        <f>IF(ISNA(_xlfn.XMATCH(A231,PURCHASE!$A:$A)),"先入料",_xlfn.XLOOKUP(A231,PURCHASE!A:A,PURCHASE!B:B))</f>
        <v>C</v>
      </c>
      <c r="C231" s="2" cm="1">
        <f t="array" ref="C231">IF(ISNA(_xlfn.XMATCH(A231,PURCHASE!$A:$A)),"先入料",SUMPRODUCT((PURCHASE!$A$2:$A$997=MAIN!A231)*PURCHASE!$C$2:$C$997)-SUMPRODUCT((CONSUME!$A$2:$A$992=MAIN!A231)*CONSUME!$C$2:$C$992))</f>
        <v>0</v>
      </c>
      <c r="D231" s="2">
        <f>IF(ISNA(_xlfn.XMATCH(A231,PURCHASE!$A:$A)),"先入料",_xlfn.XLOOKUP(A231,PURCHASE!A:A,PURCHASE!D:D))</f>
        <v>0</v>
      </c>
      <c r="E231" s="4" t="str">
        <f>HYPERLINK("https://reurl.cc/Lpo2Ke", "MAL214699801E3")</f>
        <v>MAL214699801E3</v>
      </c>
      <c r="F231" s="4" t="str">
        <f>HYPERLINK("https://www.vishay.com/docs/28403/146cti.pdf","pdf")</f>
        <v>pdf</v>
      </c>
      <c r="H231" s="10" t="s">
        <v>621</v>
      </c>
      <c r="N231" s="13">
        <v>0</v>
      </c>
      <c r="O231" t="s">
        <v>624</v>
      </c>
    </row>
    <row r="232" spans="1:15" x14ac:dyDescent="0.25">
      <c r="A232" t="s">
        <v>628</v>
      </c>
      <c r="B232" s="2" t="str">
        <f>IF(ISNA(_xlfn.XMATCH(A232,PURCHASE!$A:$A)),"先入料",_xlfn.XLOOKUP(A232,PURCHASE!A:A,PURCHASE!B:B))</f>
        <v>C</v>
      </c>
      <c r="C232" s="2" cm="1">
        <f t="array" ref="C232">IF(ISNA(_xlfn.XMATCH(A232,PURCHASE!$A:$A)),"先入料",SUMPRODUCT((PURCHASE!$A$2:$A$997=MAIN!A232)*PURCHASE!$C$2:$C$997)-SUMPRODUCT((CONSUME!$A$2:$A$992=MAIN!A232)*CONSUME!$C$2:$C$992))</f>
        <v>0</v>
      </c>
      <c r="D232" s="2">
        <f>IF(ISNA(_xlfn.XMATCH(A232,PURCHASE!$A:$A)),"先入料",_xlfn.XLOOKUP(A232,PURCHASE!A:A,PURCHASE!D:D))</f>
        <v>0</v>
      </c>
      <c r="E232" s="4" t="str">
        <f>HYPERLINK("https://www.digikey.tw/zh/products/detail/murata-electronics/GRM187R61A226ME15D/5877406", "GRM187R61A226ME15D")</f>
        <v>GRM187R61A226ME15D</v>
      </c>
      <c r="F232" s="4" t="str">
        <f>HYPERLINK("https://search.murata.co.jp/Ceramy/image/img/A01X/G101/ENG/GRM187R61A226ME15-01.pdf","pdf")</f>
        <v>pdf</v>
      </c>
      <c r="H232" s="10" t="s">
        <v>621</v>
      </c>
      <c r="N232" s="13">
        <v>4</v>
      </c>
      <c r="O232" t="s">
        <v>627</v>
      </c>
    </row>
    <row r="233" spans="1:15" x14ac:dyDescent="0.25">
      <c r="A233" t="s">
        <v>629</v>
      </c>
      <c r="B233" s="2" t="str">
        <f>IF(ISNA(_xlfn.XMATCH(A233,PURCHASE!$A:$A)),"先入料",_xlfn.XLOOKUP(A233,PURCHASE!A:A,PURCHASE!B:B))</f>
        <v>C</v>
      </c>
      <c r="C233" s="2" cm="1">
        <f t="array" ref="C233">IF(ISNA(_xlfn.XMATCH(A233,PURCHASE!$A:$A)),"先入料",SUMPRODUCT((PURCHASE!$A$2:$A$997=MAIN!A233)*PURCHASE!$C$2:$C$997)-SUMPRODUCT((CONSUME!$A$2:$A$992=MAIN!A233)*CONSUME!$C$2:$C$992))</f>
        <v>0</v>
      </c>
      <c r="D233" s="2">
        <f>IF(ISNA(_xlfn.XMATCH(A233,PURCHASE!$A:$A)),"先入料",_xlfn.XLOOKUP(A233,PURCHASE!A:A,PURCHASE!D:D))</f>
        <v>0</v>
      </c>
      <c r="E233" s="4" t="str">
        <f>HYPERLINK("https://www.digikey.tw/zh/products/detail/taiyo-yuden/UMK212AB7105KD-T/7403962", "UMK212AB7105KD-T")</f>
        <v>UMK212AB7105KD-T</v>
      </c>
      <c r="F233" s="4" t="str">
        <f>HYPERLINK("https://www.yuden.co.jp/productdata/catalog/mlcc06_e.pdf","pdf")</f>
        <v>pdf</v>
      </c>
      <c r="H233" s="10" t="s">
        <v>621</v>
      </c>
      <c r="N233" s="13">
        <v>1</v>
      </c>
      <c r="O233" t="s">
        <v>630</v>
      </c>
    </row>
    <row r="234" spans="1:15" x14ac:dyDescent="0.25">
      <c r="A234" t="s">
        <v>631</v>
      </c>
      <c r="B234" s="2" t="str">
        <f>IF(ISNA(_xlfn.XMATCH(A234,PURCHASE!$A:$A)),"先入料",_xlfn.XLOOKUP(A234,PURCHASE!A:A,PURCHASE!B:B))</f>
        <v>C</v>
      </c>
      <c r="C234" s="2" cm="1">
        <f t="array" ref="C234">IF(ISNA(_xlfn.XMATCH(A234,PURCHASE!$A:$A)),"先入料",SUMPRODUCT((PURCHASE!$A$2:$A$997=MAIN!A234)*PURCHASE!$C$2:$C$997)-SUMPRODUCT((CONSUME!$A$2:$A$992=MAIN!A234)*CONSUME!$C$2:$C$992))</f>
        <v>0</v>
      </c>
      <c r="D234" s="2">
        <f>IF(ISNA(_xlfn.XMATCH(A234,PURCHASE!$A:$A)),"先入料",_xlfn.XLOOKUP(A234,PURCHASE!A:A,PURCHASE!D:D))</f>
        <v>0</v>
      </c>
      <c r="E234" s="4" t="str">
        <f>HYPERLINK("https://www.digikey.tw/zh/products/detail/taiyo-yuden/UMK325AB7106KM-T/3194970", "UMK325AB7106KM-T")</f>
        <v>UMK325AB7106KM-T</v>
      </c>
      <c r="F234" s="4" t="str">
        <f>HYPERLINK("https://www.yuden.co.jp/productdata/catalog/mlcc06_e.pdf","pdf")</f>
        <v>pdf</v>
      </c>
      <c r="H234" s="10" t="s">
        <v>621</v>
      </c>
      <c r="N234" s="13">
        <v>2</v>
      </c>
      <c r="O234" t="s">
        <v>632</v>
      </c>
    </row>
    <row r="235" spans="1:15" x14ac:dyDescent="0.25">
      <c r="A235" t="s">
        <v>633</v>
      </c>
      <c r="B235" s="2" t="str">
        <f>IF(ISNA(_xlfn.XMATCH(A235,PURCHASE!$A:$A)),"先入料",_xlfn.XLOOKUP(A235,PURCHASE!A:A,PURCHASE!B:B))</f>
        <v>C</v>
      </c>
      <c r="C235" s="2" cm="1">
        <f t="array" ref="C235">IF(ISNA(_xlfn.XMATCH(A235,PURCHASE!$A:$A)),"先入料",SUMPRODUCT((PURCHASE!$A$2:$A$997=MAIN!A235)*PURCHASE!$C$2:$C$997)-SUMPRODUCT((CONSUME!$A$2:$A$992=MAIN!A235)*CONSUME!$C$2:$C$992))</f>
        <v>0</v>
      </c>
      <c r="D235" s="2">
        <f>IF(ISNA(_xlfn.XMATCH(A235,PURCHASE!$A:$A)),"先入料",_xlfn.XLOOKUP(A235,PURCHASE!A:A,PURCHASE!D:D))</f>
        <v>0</v>
      </c>
      <c r="E235" s="4" t="str">
        <f>HYPERLINK("https://www.digikey.tw/zh/products/detail/murata-electronics/GCM188R71H104KA57J/2591942", "GCM188R71H104KA57J")</f>
        <v>GCM188R71H104KA57J</v>
      </c>
      <c r="F235" s="4" t="str">
        <f>HYPERLINK("https://search.murata.co.jp/Ceramy/image/img/A01X/G101/ENG/GCM188R71H104KA57-01.pdf","pdf")</f>
        <v>pdf</v>
      </c>
      <c r="H235" s="10" t="s">
        <v>621</v>
      </c>
      <c r="N235" s="13">
        <v>8</v>
      </c>
      <c r="O235" t="s">
        <v>634</v>
      </c>
    </row>
    <row r="236" spans="1:15" x14ac:dyDescent="0.25">
      <c r="A236" t="s">
        <v>635</v>
      </c>
      <c r="B236" s="2" t="str">
        <f>IF(ISNA(_xlfn.XMATCH(A236,PURCHASE!$A:$A)),"先入料",_xlfn.XLOOKUP(A236,PURCHASE!A:A,PURCHASE!B:B))</f>
        <v>C</v>
      </c>
      <c r="C236" s="2" cm="1">
        <f t="array" ref="C236">IF(ISNA(_xlfn.XMATCH(A236,PURCHASE!$A:$A)),"先入料",SUMPRODUCT((PURCHASE!$A$2:$A$997=MAIN!A236)*PURCHASE!$C$2:$C$997)-SUMPRODUCT((CONSUME!$A$2:$A$992=MAIN!A236)*CONSUME!$C$2:$C$992))</f>
        <v>0</v>
      </c>
      <c r="D236" s="2">
        <f>IF(ISNA(_xlfn.XMATCH(A236,PURCHASE!$A:$A)),"先入料",_xlfn.XLOOKUP(A236,PURCHASE!A:A,PURCHASE!D:D))</f>
        <v>0</v>
      </c>
      <c r="E236" s="4" t="str">
        <f>HYPERLINK("https://www.digikey.tw/zh/products/detail/murata-electronics/GRM155R71H104KE14J/4905180", "GRM155R71H104KE14J")</f>
        <v>GRM155R71H104KE14J</v>
      </c>
      <c r="F236" s="4" t="str">
        <f>HYPERLINK("https://search.murata.co.jp/Ceramy/image/img/A01X/G101/ENG/GRM155R71H104KE14-01.pdf","pdf")</f>
        <v>pdf</v>
      </c>
      <c r="H236" s="10" t="s">
        <v>621</v>
      </c>
      <c r="N236" s="13">
        <v>4</v>
      </c>
      <c r="O236" t="s">
        <v>636</v>
      </c>
    </row>
    <row r="237" spans="1:15" x14ac:dyDescent="0.25">
      <c r="A237" t="s">
        <v>637</v>
      </c>
      <c r="B237" s="2" t="str">
        <f>IF(ISNA(_xlfn.XMATCH(A237,PURCHASE!$A:$A)),"先入料",_xlfn.XLOOKUP(A237,PURCHASE!A:A,PURCHASE!B:B))</f>
        <v>L</v>
      </c>
      <c r="C237" s="2" cm="1">
        <f t="array" ref="C237">IF(ISNA(_xlfn.XMATCH(A237,PURCHASE!$A:$A)),"先入料",SUMPRODUCT((PURCHASE!$A$2:$A$997=MAIN!A237)*PURCHASE!$C$2:$C$997)-SUMPRODUCT((CONSUME!$A$2:$A$992=MAIN!A237)*CONSUME!$C$2:$C$992))</f>
        <v>7</v>
      </c>
      <c r="D237" s="2" t="str">
        <f>IF(ISNA(_xlfn.XMATCH(A237,PURCHASE!$A:$A)),"先入料",_xlfn.XLOOKUP(A237,PURCHASE!A:A,PURCHASE!D:D))</f>
        <v>D3-1</v>
      </c>
      <c r="E237" s="4" t="str">
        <f>HYPERLINK("https://reurl.cc/2DONWm", "74279226101")</f>
        <v>74279226101</v>
      </c>
      <c r="F237" s="4" t="str">
        <f>HYPERLINK("https://www.we-online.com/katalog/datasheet/74279226101.pdf","pdf")</f>
        <v>pdf</v>
      </c>
      <c r="H237" s="10" t="s">
        <v>621</v>
      </c>
      <c r="N237" s="13">
        <v>1</v>
      </c>
      <c r="O237" t="s">
        <v>638</v>
      </c>
    </row>
    <row r="238" spans="1:15" x14ac:dyDescent="0.25">
      <c r="A238" t="s">
        <v>639</v>
      </c>
      <c r="B238" s="2" t="str">
        <f>IF(ISNA(_xlfn.XMATCH(A238,PURCHASE!$A:$A)),"先入料",_xlfn.XLOOKUP(A238,PURCHASE!A:A,PURCHASE!B:B))</f>
        <v>L</v>
      </c>
      <c r="C238" s="2" cm="1">
        <f t="array" ref="C238">IF(ISNA(_xlfn.XMATCH(A238,PURCHASE!$A:$A)),"先入料",SUMPRODUCT((PURCHASE!$A$2:$A$997=MAIN!A238)*PURCHASE!$C$2:$C$997)-SUMPRODUCT((CONSUME!$A$2:$A$992=MAIN!A238)*CONSUME!$C$2:$C$992))</f>
        <v>7</v>
      </c>
      <c r="D238" s="2" t="str">
        <f>IF(ISNA(_xlfn.XMATCH(A238,PURCHASE!$A:$A)),"先入料",_xlfn.XLOOKUP(A238,PURCHASE!A:A,PURCHASE!D:D))</f>
        <v>D3-1</v>
      </c>
      <c r="E238" s="4" t="str">
        <f>HYPERLINK("https://www.digikey.tw/zh/products/detail/w%C3%BCrth-elektronik/744373240022/2791037?s=N4IgTCBcDaIOwBYEGY7LAgDJsEC6AvkA", "744373240022")</f>
        <v>744373240022</v>
      </c>
      <c r="F238" s="4" t="str">
        <f>HYPERLINK("https://www.we-online.com/katalog/datasheet/744373240022.pdf","pdf")</f>
        <v>pdf</v>
      </c>
      <c r="H238" s="10" t="s">
        <v>621</v>
      </c>
      <c r="N238" s="13">
        <v>1</v>
      </c>
      <c r="O238" t="s">
        <v>640</v>
      </c>
    </row>
    <row r="239" spans="1:15" x14ac:dyDescent="0.25">
      <c r="A239" t="s">
        <v>641</v>
      </c>
      <c r="B239" s="2" t="str">
        <f>IF(ISNA(_xlfn.XMATCH(A239,PURCHASE!$A:$A)),"先入料",_xlfn.XLOOKUP(A239,PURCHASE!A:A,PURCHASE!B:B))</f>
        <v>R</v>
      </c>
      <c r="C239" s="2" cm="1">
        <f t="array" ref="C239">IF(ISNA(_xlfn.XMATCH(A239,PURCHASE!$A:$A)),"先入料",SUMPRODUCT((PURCHASE!$A$2:$A$997=MAIN!A239)*PURCHASE!$C$2:$C$997)-SUMPRODUCT((CONSUME!$A$2:$A$992=MAIN!A239)*CONSUME!$C$2:$C$992))</f>
        <v>0</v>
      </c>
      <c r="D239" s="2">
        <f>IF(ISNA(_xlfn.XMATCH(A239,PURCHASE!$A:$A)),"先入料",_xlfn.XLOOKUP(A239,PURCHASE!A:A,PURCHASE!D:D))</f>
        <v>0</v>
      </c>
      <c r="E239" s="4" t="str">
        <f>HYPERLINK("https://www.digikey.tw/zh/products/detail/yageo/RT0603FRE0744K2L/1075375","RT0603FRE0744K2L")</f>
        <v>RT0603FRE0744K2L</v>
      </c>
      <c r="H239" s="10" t="s">
        <v>621</v>
      </c>
      <c r="N239" s="13">
        <v>1</v>
      </c>
      <c r="O239" t="s">
        <v>642</v>
      </c>
    </row>
    <row r="240" spans="1:15" x14ac:dyDescent="0.25">
      <c r="A240" t="s">
        <v>644</v>
      </c>
      <c r="B240" s="2" t="str">
        <f>IF(ISNA(_xlfn.XMATCH(A240,PURCHASE!$A:$A)),"先入料",_xlfn.XLOOKUP(A240,PURCHASE!A:A,PURCHASE!B:B))</f>
        <v>R</v>
      </c>
      <c r="C240" s="2" cm="1">
        <f t="array" ref="C240">IF(ISNA(_xlfn.XMATCH(A240,PURCHASE!$A:$A)),"先入料",SUMPRODUCT((PURCHASE!$A$2:$A$997=MAIN!A240)*PURCHASE!$C$2:$C$997)-SUMPRODUCT((CONSUME!$A$2:$A$992=MAIN!A240)*CONSUME!$C$2:$C$992))</f>
        <v>0</v>
      </c>
      <c r="D240" s="2">
        <f>IF(ISNA(_xlfn.XMATCH(A240,PURCHASE!$A:$A)),"先入料",_xlfn.XLOOKUP(A240,PURCHASE!A:A,PURCHASE!D:D))</f>
        <v>0</v>
      </c>
      <c r="E240" s="4" t="str">
        <f>HYPERLINK("https://reurl.cc/AKllQK","RC0603FR-07133KL")</f>
        <v>RC0603FR-07133KL</v>
      </c>
      <c r="H240" s="10" t="s">
        <v>621</v>
      </c>
      <c r="N240" s="13">
        <v>1</v>
      </c>
      <c r="O240" t="s">
        <v>645</v>
      </c>
    </row>
    <row r="241" spans="1:15" x14ac:dyDescent="0.25">
      <c r="A241" t="s">
        <v>646</v>
      </c>
      <c r="B241" s="2" t="str">
        <f>IF(ISNA(_xlfn.XMATCH(A241,PURCHASE!$A:$A)),"先入料",_xlfn.XLOOKUP(A241,PURCHASE!A:A,PURCHASE!B:B))</f>
        <v>C</v>
      </c>
      <c r="C241" s="2" cm="1">
        <f t="array" ref="C241">IF(ISNA(_xlfn.XMATCH(A241,PURCHASE!$A:$A)),"先入料",SUMPRODUCT((PURCHASE!$A$2:$A$997=MAIN!A241)*PURCHASE!$C$2:$C$997)-SUMPRODUCT((CONSUME!$A$2:$A$992=MAIN!A241)*CONSUME!$C$2:$C$992))</f>
        <v>2</v>
      </c>
      <c r="D241" s="2" t="str">
        <f>IF(ISNA(_xlfn.XMATCH(A241,PURCHASE!$A:$A)),"先入料",_xlfn.XLOOKUP(A241,PURCHASE!A:A,PURCHASE!D:D))</f>
        <v>C9-1</v>
      </c>
      <c r="E241" s="4" t="str">
        <f>HYPERLINK("https://reurl.cc/k7bV3x", "MAL214099801E3")</f>
        <v>MAL214099801E3</v>
      </c>
      <c r="F241" s="4" t="str">
        <f>HYPERLINK("https://www.vishay.com/docs/28403/146cti.pdf","pdf")</f>
        <v>pdf</v>
      </c>
      <c r="H241" s="10" t="s">
        <v>621</v>
      </c>
      <c r="N241" s="13">
        <v>4</v>
      </c>
      <c r="O241" t="s">
        <v>647</v>
      </c>
    </row>
    <row r="242" spans="1:15" x14ac:dyDescent="0.25">
      <c r="A242" t="s">
        <v>648</v>
      </c>
      <c r="B242" s="2" t="str">
        <f>IF(ISNA(_xlfn.XMATCH(A242,PURCHASE!$A:$A)),"先入料",_xlfn.XLOOKUP(A242,PURCHASE!A:A,PURCHASE!B:B))</f>
        <v>R</v>
      </c>
      <c r="C242" s="2" cm="1">
        <f t="array" ref="C242">IF(ISNA(_xlfn.XMATCH(A242,PURCHASE!$A:$A)),"先入料",SUMPRODUCT((PURCHASE!$A$2:$A$997=MAIN!A242)*PURCHASE!$C$2:$C$997)-SUMPRODUCT((CONSUME!$A$2:$A$992=MAIN!A242)*CONSUME!$C$2:$C$992))</f>
        <v>0</v>
      </c>
      <c r="D242" s="2">
        <f>IF(ISNA(_xlfn.XMATCH(A242,PURCHASE!$A:$A)),"先入料",_xlfn.XLOOKUP(A242,PURCHASE!A:A,PURCHASE!D:D))</f>
        <v>0</v>
      </c>
      <c r="E242" s="4" t="str">
        <f>HYPERLINK("https://www.digikey.tw/zh/products/detail/yageo/AC0603FR-0738K3L/5896070","AC0603FR-0738K3L")</f>
        <v>AC0603FR-0738K3L</v>
      </c>
      <c r="H242" s="10" t="s">
        <v>621</v>
      </c>
      <c r="N242" s="13">
        <v>1</v>
      </c>
      <c r="O242" t="s">
        <v>649</v>
      </c>
    </row>
    <row r="243" spans="1:15" x14ac:dyDescent="0.25">
      <c r="A243" t="s">
        <v>650</v>
      </c>
      <c r="B243" s="2" t="str">
        <f>IF(ISNA(_xlfn.XMATCH(A243,PURCHASE!$A:$A)),"先入料",_xlfn.XLOOKUP(A243,PURCHASE!A:A,PURCHASE!B:B))</f>
        <v>R</v>
      </c>
      <c r="C243" s="2" cm="1">
        <f t="array" ref="C243">IF(ISNA(_xlfn.XMATCH(A243,PURCHASE!$A:$A)),"先入料",SUMPRODUCT((PURCHASE!$A$2:$A$997=MAIN!A243)*PURCHASE!$C$2:$C$997)-SUMPRODUCT((CONSUME!$A$2:$A$992=MAIN!A243)*CONSUME!$C$2:$C$992))</f>
        <v>0</v>
      </c>
      <c r="D243" s="2">
        <f>IF(ISNA(_xlfn.XMATCH(A243,PURCHASE!$A:$A)),"先入料",_xlfn.XLOOKUP(A243,PURCHASE!A:A,PURCHASE!D:D))</f>
        <v>0</v>
      </c>
      <c r="E243" s="4" t="str">
        <f>HYPERLINK("https://www.digikey.tw/zh/products/detail/yageo/RT0603DRE0766K5L/1074949","RT0603DRE0766K5L")</f>
        <v>RT0603DRE0766K5L</v>
      </c>
      <c r="H243" s="10" t="s">
        <v>621</v>
      </c>
      <c r="N243" s="13">
        <v>1</v>
      </c>
      <c r="O243" t="s">
        <v>651</v>
      </c>
    </row>
    <row r="244" spans="1:15" x14ac:dyDescent="0.25">
      <c r="A244" t="s">
        <v>652</v>
      </c>
      <c r="B244" s="2" t="str">
        <f>IF(ISNA(_xlfn.XMATCH(A244,PURCHASE!$A:$A)),"先入料",_xlfn.XLOOKUP(A244,PURCHASE!A:A,PURCHASE!B:B))</f>
        <v>R</v>
      </c>
      <c r="C244" s="2" cm="1">
        <f t="array" ref="C244">IF(ISNA(_xlfn.XMATCH(A244,PURCHASE!$A:$A)),"先入料",SUMPRODUCT((PURCHASE!$A$2:$A$997=MAIN!A244)*PURCHASE!$C$2:$C$997)-SUMPRODUCT((CONSUME!$A$2:$A$992=MAIN!A244)*CONSUME!$C$2:$C$992))</f>
        <v>0</v>
      </c>
      <c r="D244" s="2">
        <f>IF(ISNA(_xlfn.XMATCH(A244,PURCHASE!$A:$A)),"先入料",_xlfn.XLOOKUP(A244,PURCHASE!A:A,PURCHASE!D:D))</f>
        <v>0</v>
      </c>
      <c r="E244" s="4" t="str">
        <f>HYPERLINK("https://www.digikey.tw/zh/products/detail/yageo/RC0603FR-07261KL/727096","RC0603FR-07261KL")</f>
        <v>RC0603FR-07261KL</v>
      </c>
      <c r="H244" s="10" t="s">
        <v>621</v>
      </c>
      <c r="N244" s="13">
        <v>1</v>
      </c>
      <c r="O244" t="s">
        <v>653</v>
      </c>
    </row>
    <row r="245" spans="1:15" x14ac:dyDescent="0.25">
      <c r="A245" t="s">
        <v>654</v>
      </c>
      <c r="B245" s="2" t="str">
        <f>IF(ISNA(_xlfn.XMATCH(A245,PURCHASE!$A:$A)),"先入料",_xlfn.XLOOKUP(A245,PURCHASE!A:A,PURCHASE!B:B))</f>
        <v>R</v>
      </c>
      <c r="C245" s="2" cm="1">
        <f t="array" ref="C245">IF(ISNA(_xlfn.XMATCH(A245,PURCHASE!$A:$A)),"先入料",SUMPRODUCT((PURCHASE!$A$2:$A$997=MAIN!A245)*PURCHASE!$C$2:$C$997)-SUMPRODUCT((CONSUME!$A$2:$A$992=MAIN!A245)*CONSUME!$C$2:$C$992))</f>
        <v>0</v>
      </c>
      <c r="D245" s="2">
        <f>IF(ISNA(_xlfn.XMATCH(A245,PURCHASE!$A:$A)),"先入料",_xlfn.XLOOKUP(A245,PURCHASE!A:A,PURCHASE!D:D))</f>
        <v>0</v>
      </c>
      <c r="E245" s="4" t="str">
        <f>HYPERLINK("https://reurl.cc/VjZEX5","RC0603FR-07165KL")</f>
        <v>RC0603FR-07165KL</v>
      </c>
      <c r="H245" s="10" t="s">
        <v>621</v>
      </c>
      <c r="N245" s="13">
        <v>1</v>
      </c>
      <c r="O245" t="s">
        <v>655</v>
      </c>
    </row>
    <row r="246" spans="1:15" x14ac:dyDescent="0.25">
      <c r="A246" t="s">
        <v>656</v>
      </c>
      <c r="B246" s="2" t="str">
        <f>IF(ISNA(_xlfn.XMATCH(A246,PURCHASE!$A:$A)),"先入料",_xlfn.XLOOKUP(A246,PURCHASE!A:A,PURCHASE!B:B))</f>
        <v>R</v>
      </c>
      <c r="C246" s="2" cm="1">
        <f t="array" ref="C246">IF(ISNA(_xlfn.XMATCH(A246,PURCHASE!$A:$A)),"先入料",SUMPRODUCT((PURCHASE!$A$2:$A$997=MAIN!A246)*PURCHASE!$C$2:$C$997)-SUMPRODUCT((CONSUME!$A$2:$A$992=MAIN!A246)*CONSUME!$C$2:$C$992))</f>
        <v>0</v>
      </c>
      <c r="D246" s="2">
        <f>IF(ISNA(_xlfn.XMATCH(A246,PURCHASE!$A:$A)),"先入料",_xlfn.XLOOKUP(A246,PURCHASE!A:A,PURCHASE!D:D))</f>
        <v>0</v>
      </c>
      <c r="E246" s="4" t="str">
        <f>HYPERLINK("https://www.digikey.tw/zh/products/detail/yageo/AC0603FR-0769K8L/5896257","AC0603FR-0769K8L")</f>
        <v>AC0603FR-0769K8L</v>
      </c>
      <c r="H246" s="10" t="s">
        <v>621</v>
      </c>
      <c r="N246" s="13">
        <v>1</v>
      </c>
      <c r="O246" t="s">
        <v>658</v>
      </c>
    </row>
    <row r="247" spans="1:15" x14ac:dyDescent="0.25">
      <c r="A247" t="s">
        <v>657</v>
      </c>
      <c r="B247" s="2" t="str">
        <f>IF(ISNA(_xlfn.XMATCH(A247,PURCHASE!$A:$A)),"先入料",_xlfn.XLOOKUP(A247,PURCHASE!A:A,PURCHASE!B:B))</f>
        <v>R</v>
      </c>
      <c r="C247" s="2" cm="1">
        <f t="array" ref="C247">IF(ISNA(_xlfn.XMATCH(A247,PURCHASE!$A:$A)),"先入料",SUMPRODUCT((PURCHASE!$A$2:$A$997=MAIN!A247)*PURCHASE!$C$2:$C$997)-SUMPRODUCT((CONSUME!$A$2:$A$992=MAIN!A247)*CONSUME!$C$2:$C$992))</f>
        <v>0</v>
      </c>
      <c r="D247" s="2">
        <f>IF(ISNA(_xlfn.XMATCH(A247,PURCHASE!$A:$A)),"先入料",_xlfn.XLOOKUP(A247,PURCHASE!A:A,PURCHASE!D:D))</f>
        <v>0</v>
      </c>
      <c r="E247" s="4" t="str">
        <f>HYPERLINK("https://www.digikey.tw/zh/products/detail/yageo/RT0603DRE0784K5L/1074995","RT0603DRE0784K5L")</f>
        <v>RT0603DRE0784K5L</v>
      </c>
      <c r="H247" s="10" t="s">
        <v>621</v>
      </c>
      <c r="N247" s="13">
        <v>1</v>
      </c>
      <c r="O247" t="s">
        <v>659</v>
      </c>
    </row>
    <row r="248" spans="1:15" x14ac:dyDescent="0.25">
      <c r="A248" t="s">
        <v>660</v>
      </c>
      <c r="B248" s="2" t="str">
        <f>IF(ISNA(_xlfn.XMATCH(A248,PURCHASE!$A:$A)),"先入料",_xlfn.XLOOKUP(A248,PURCHASE!A:A,PURCHASE!B:B))</f>
        <v>R</v>
      </c>
      <c r="C248" s="2" cm="1">
        <f t="array" ref="C248">IF(ISNA(_xlfn.XMATCH(A248,PURCHASE!$A:$A)),"先入料",SUMPRODUCT((PURCHASE!$A$2:$A$997=MAIN!A248)*PURCHASE!$C$2:$C$997)-SUMPRODUCT((CONSUME!$A$2:$A$992=MAIN!A248)*CONSUME!$C$2:$C$992))</f>
        <v>0</v>
      </c>
      <c r="D248" s="2">
        <f>IF(ISNA(_xlfn.XMATCH(A248,PURCHASE!$A:$A)),"先入料",_xlfn.XLOOKUP(A248,PURCHASE!A:A,PURCHASE!D:D))</f>
        <v>0</v>
      </c>
      <c r="E248" s="4" t="str">
        <f>HYPERLINK("https://www.digikey.tw/zh/products/detail/yageo/AC0603FR-0790K9L/5896331","AC0603FR-0790K9L")</f>
        <v>AC0603FR-0790K9L</v>
      </c>
      <c r="H248" s="10" t="s">
        <v>621</v>
      </c>
      <c r="N248" s="13">
        <v>2</v>
      </c>
      <c r="O248" t="s">
        <v>661</v>
      </c>
    </row>
    <row r="249" spans="1:15" x14ac:dyDescent="0.25">
      <c r="A249" t="s">
        <v>662</v>
      </c>
      <c r="B249" s="2" t="str">
        <f>IF(ISNA(_xlfn.XMATCH(A249,PURCHASE!$A:$A)),"先入料",_xlfn.XLOOKUP(A249,PURCHASE!A:A,PURCHASE!B:B))</f>
        <v>D</v>
      </c>
      <c r="C249" s="2" cm="1">
        <f t="array" ref="C249">IF(ISNA(_xlfn.XMATCH(A249,PURCHASE!$A:$A)),"先入料",SUMPRODUCT((PURCHASE!$A$2:$A$997=MAIN!A249)*PURCHASE!$C$2:$C$997)-SUMPRODUCT((CONSUME!$A$2:$A$992=MAIN!A249)*CONSUME!$C$2:$C$992))</f>
        <v>0</v>
      </c>
      <c r="D249" s="2">
        <f>IF(ISNA(_xlfn.XMATCH(A249,PURCHASE!$A:$A)),"先入料",_xlfn.XLOOKUP(A249,PURCHASE!A:A,PURCHASE!D:D))</f>
        <v>0</v>
      </c>
      <c r="E249" s="4" t="str">
        <f>HYPERLINK("https://www.digikey.tw/zh/products/detail/nexperia-usa-inc/PMEG6020EP-115/2296185", "PMEG6020EP,115")</f>
        <v>PMEG6020EP,115</v>
      </c>
      <c r="F249" s="4" t="str">
        <f>HYPERLINK("https://assets.nexperia.com/documents/data-sheet/PMEG6020EP.pdf","pdf")</f>
        <v>pdf</v>
      </c>
      <c r="H249" s="10" t="s">
        <v>621</v>
      </c>
      <c r="N249" s="13">
        <v>1</v>
      </c>
      <c r="O249" t="s">
        <v>663</v>
      </c>
    </row>
    <row r="250" spans="1:15" x14ac:dyDescent="0.25">
      <c r="A250" t="s">
        <v>664</v>
      </c>
      <c r="B250" s="2" t="str">
        <f>IF(ISNA(_xlfn.XMATCH(A250,PURCHASE!$A:$A)),"先入料",_xlfn.XLOOKUP(A250,PURCHASE!A:A,PURCHASE!B:B))</f>
        <v>SER</v>
      </c>
      <c r="C250" s="2" cm="1">
        <f t="array" ref="C250">IF(ISNA(_xlfn.XMATCH(A250,PURCHASE!$A:$A)),"先入料",SUMPRODUCT((PURCHASE!$A$2:$A$997=MAIN!A250)*PURCHASE!$C$2:$C$997)-SUMPRODUCT((CONSUME!$A$2:$A$992=MAIN!A250)*CONSUME!$C$2:$C$992))</f>
        <v>9</v>
      </c>
      <c r="D250" s="2" t="str">
        <f>IF(ISNA(_xlfn.XMATCH(A250,PURCHASE!$A:$A)),"先入料",_xlfn.XLOOKUP(A250,PURCHASE!A:A,PURCHASE!D:D))</f>
        <v>B9</v>
      </c>
      <c r="E250" s="4" t="str">
        <f>HYPERLINK("https://www.digikey.tw/zh/products/detail/analog-devices-inc-maxim-integrated/MAX3294AUT-T/1705173","MAX3294AUT+T")</f>
        <v>MAX3294AUT+T</v>
      </c>
      <c r="F250" s="4" t="str">
        <f>HYPERLINK("https://polarisphotonics-my.sharepoint.com/personal/bw_shiau_polarisphotonics_com/Documents/papers/IC/Digital_TTL/MAX3294.pdf","pdf")</f>
        <v>pdf</v>
      </c>
      <c r="H250" s="10" t="s">
        <v>621</v>
      </c>
      <c r="N250" s="13">
        <v>2</v>
      </c>
      <c r="O250" t="s">
        <v>694</v>
      </c>
    </row>
    <row r="251" spans="1:15" x14ac:dyDescent="0.25">
      <c r="A251" t="s">
        <v>665</v>
      </c>
      <c r="B251" s="2" t="str">
        <f>IF(ISNA(_xlfn.XMATCH(A251,PURCHASE!$A:$A)),"先入料",_xlfn.XLOOKUP(A251,PURCHASE!A:A,PURCHASE!B:B))</f>
        <v>CON</v>
      </c>
      <c r="C251" s="2" cm="1">
        <f t="array" ref="C251">IF(ISNA(_xlfn.XMATCH(A251,PURCHASE!$A:$A)),"先入料",SUMPRODUCT((PURCHASE!$A$2:$A$997=MAIN!A251)*PURCHASE!$C$2:$C$997)-SUMPRODUCT((CONSUME!$A$2:$A$992=MAIN!A251)*CONSUME!$C$2:$C$992))</f>
        <v>0</v>
      </c>
      <c r="D251" s="2">
        <f>IF(ISNA(_xlfn.XMATCH(A251,PURCHASE!$A:$A)),"先入料",_xlfn.XLOOKUP(A251,PURCHASE!A:A,PURCHASE!D:D))</f>
        <v>0</v>
      </c>
      <c r="E251" s="4" t="str">
        <f>HYPERLINK("https://www.digikey.tw/en/products/detail/norcomp-inc/381-015-112L565/2798602","381-015-112L565")</f>
        <v>381-015-112L565</v>
      </c>
      <c r="F251" s="4" t="str">
        <f>HYPERLINK("https://www.norcomp.net/rohspdfs/Micro-D/381-015-112L565.pdf","pdf")</f>
        <v>pdf</v>
      </c>
      <c r="O251" t="s">
        <v>666</v>
      </c>
    </row>
    <row r="252" spans="1:15" x14ac:dyDescent="0.25">
      <c r="A252" t="s">
        <v>669</v>
      </c>
      <c r="B252" s="2" t="str">
        <f>IF(ISNA(_xlfn.XMATCH(A252,PURCHASE!$A:$A)),"先入料",_xlfn.XLOOKUP(A252,PURCHASE!A:A,PURCHASE!B:B))</f>
        <v>C</v>
      </c>
      <c r="C252" s="2" cm="1">
        <f t="array" ref="C252">IF(ISNA(_xlfn.XMATCH(A252,PURCHASE!$A:$A)),"先入料",SUMPRODUCT((PURCHASE!$A$2:$A$997=MAIN!A252)*PURCHASE!$C$2:$C$997)-SUMPRODUCT((CONSUME!$A$2:$A$992=MAIN!A252)*CONSUME!$C$2:$C$992))</f>
        <v>0</v>
      </c>
      <c r="D252" s="2">
        <f>IF(ISNA(_xlfn.XMATCH(A252,PURCHASE!$A:$A)),"先入料",_xlfn.XLOOKUP(A252,PURCHASE!A:A,PURCHASE!D:D))</f>
        <v>0</v>
      </c>
      <c r="E252" s="4" t="str">
        <f>HYPERLINK("https://www.digikey.tw/zh/products/detail/murata-electronics/GRM188Z71A475ME15D/13904814", "GRM188Z71A475ME15D")</f>
        <v>GRM188Z71A475ME15D</v>
      </c>
      <c r="F252" s="4" t="str">
        <f>HYPERLINK("https://search.murata.co.jp/Ceramy/image/img/A01X/G101/ENG/GRM188Z71A475ME15-01.pdf","pdf")</f>
        <v>pdf</v>
      </c>
      <c r="H252" s="10" t="s">
        <v>621</v>
      </c>
      <c r="N252" s="13">
        <v>1</v>
      </c>
      <c r="O252" t="s">
        <v>670</v>
      </c>
    </row>
    <row r="253" spans="1:15" x14ac:dyDescent="0.25">
      <c r="A253" t="s">
        <v>671</v>
      </c>
      <c r="B253" s="2" t="str">
        <f>IF(ISNA(_xlfn.XMATCH(A253,PURCHASE!$A:$A)),"先入料",_xlfn.XLOOKUP(A253,PURCHASE!A:A,PURCHASE!B:B))</f>
        <v>C</v>
      </c>
      <c r="C253" s="2" cm="1">
        <f t="array" ref="C253">IF(ISNA(_xlfn.XMATCH(A253,PURCHASE!$A:$A)),"先入料",SUMPRODUCT((PURCHASE!$A$2:$A$997=MAIN!A253)*PURCHASE!$C$2:$C$997)-SUMPRODUCT((CONSUME!$A$2:$A$992=MAIN!A253)*CONSUME!$C$2:$C$992))</f>
        <v>0</v>
      </c>
      <c r="D253" s="2">
        <f>IF(ISNA(_xlfn.XMATCH(A253,PURCHASE!$A:$A)),"先入料",_xlfn.XLOOKUP(A253,PURCHASE!A:A,PURCHASE!D:D))</f>
        <v>0</v>
      </c>
      <c r="E253" s="4" t="str">
        <f>HYPERLINK("https://www.digikey.tw/zh/products/detail/w%C3%BCrth-elektronik/885012206014/5453788", "885012206014")</f>
        <v>885012206014</v>
      </c>
      <c r="F253" s="4" t="str">
        <f>HYPERLINK("https://www.we-online.com/katalog/datasheet/885012206014.pdf","pdf")</f>
        <v>pdf</v>
      </c>
      <c r="H253" s="10" t="s">
        <v>621</v>
      </c>
      <c r="N253" s="13">
        <v>1</v>
      </c>
      <c r="O253" t="s">
        <v>672</v>
      </c>
    </row>
    <row r="254" spans="1:15" x14ac:dyDescent="0.25">
      <c r="A254" t="s">
        <v>676</v>
      </c>
      <c r="B254" s="2" t="str">
        <f>IF(ISNA(_xlfn.XMATCH(A254,PURCHASE!$A:$A)),"先入料",_xlfn.XLOOKUP(A254,PURCHASE!A:A,PURCHASE!B:B))</f>
        <v>CON</v>
      </c>
      <c r="C254" s="2" cm="1">
        <f t="array" ref="C254">IF(ISNA(_xlfn.XMATCH(A254,PURCHASE!$A:$A)),"先入料",SUMPRODUCT((PURCHASE!$A$2:$A$997=MAIN!A254)*PURCHASE!$C$2:$C$997)-SUMPRODUCT((CONSUME!$A$2:$A$992=MAIN!A254)*CONSUME!$C$2:$C$992))</f>
        <v>16</v>
      </c>
      <c r="D254" s="2" t="str">
        <f>IF(ISNA(_xlfn.XMATCH(A254,PURCHASE!$A:$A)),"先入料",_xlfn.XLOOKUP(A254,PURCHASE!A:A,PURCHASE!D:D))</f>
        <v>塑膠盒、電路抽屜</v>
      </c>
      <c r="E254" s="4" t="str">
        <f>HYPERLINK("https://shop.cpu.com.tw/product/53893/info//", "282834-4")</f>
        <v>282834-4</v>
      </c>
      <c r="F254" s="4" t="str">
        <f>HYPERLINK("https://polarisphotonics-my.sharepoint.com/personal/bw_shiau_polarisphotonics_com/Documents/papers/IC/CONN/terminalBlock_282834.pdf","pdf")</f>
        <v>pdf</v>
      </c>
      <c r="H254" s="10" t="s">
        <v>621</v>
      </c>
      <c r="N254" s="13">
        <v>3</v>
      </c>
      <c r="O254" t="s">
        <v>677</v>
      </c>
    </row>
    <row r="255" spans="1:15" x14ac:dyDescent="0.25">
      <c r="A255" t="s">
        <v>678</v>
      </c>
      <c r="B255" s="2" t="str">
        <f>IF(ISNA(_xlfn.XMATCH(A255,PURCHASE!$A:$A)),"先入料",_xlfn.XLOOKUP(A255,PURCHASE!A:A,PURCHASE!B:B))</f>
        <v>R</v>
      </c>
      <c r="C255" s="2" cm="1">
        <f t="array" ref="C255">IF(ISNA(_xlfn.XMATCH(A255,PURCHASE!$A:$A)),"先入料",SUMPRODUCT((PURCHASE!$A$2:$A$997=MAIN!A255)*PURCHASE!$C$2:$C$997)-SUMPRODUCT((CONSUME!$A$2:$A$992=MAIN!A255)*CONSUME!$C$2:$C$992))</f>
        <v>0</v>
      </c>
      <c r="D255" s="2">
        <f>IF(ISNA(_xlfn.XMATCH(A255,PURCHASE!$A:$A)),"先入料",_xlfn.XLOOKUP(A255,PURCHASE!A:A,PURCHASE!D:D))</f>
        <v>0</v>
      </c>
      <c r="E255" s="4" t="str">
        <f>HYPERLINK("https://www.digikey.tw/zh/products/detail/yageo/RC0603FR-131ML/13694152","RC0603FR-131ML")</f>
        <v>RC0603FR-131ML</v>
      </c>
      <c r="H255" s="10" t="s">
        <v>621</v>
      </c>
      <c r="N255" s="13">
        <v>1</v>
      </c>
      <c r="O255" t="s">
        <v>679</v>
      </c>
    </row>
    <row r="256" spans="1:15" x14ac:dyDescent="0.25">
      <c r="A256" t="s">
        <v>680</v>
      </c>
      <c r="B256" s="2" t="str">
        <f>IF(ISNA(_xlfn.XMATCH(A256,PURCHASE!$A:$A)),"先入料",_xlfn.XLOOKUP(A256,PURCHASE!A:A,PURCHASE!B:B))</f>
        <v>R</v>
      </c>
      <c r="C256" s="2" cm="1">
        <f t="array" ref="C256">IF(ISNA(_xlfn.XMATCH(A256,PURCHASE!$A:$A)),"先入料",SUMPRODUCT((PURCHASE!$A$2:$A$997=MAIN!A256)*PURCHASE!$C$2:$C$997)-SUMPRODUCT((CONSUME!$A$2:$A$992=MAIN!A256)*CONSUME!$C$2:$C$992))</f>
        <v>0</v>
      </c>
      <c r="D256" s="2">
        <f>IF(ISNA(_xlfn.XMATCH(A256,PURCHASE!$A:$A)),"先入料",_xlfn.XLOOKUP(A256,PURCHASE!A:A,PURCHASE!D:D))</f>
        <v>0</v>
      </c>
      <c r="E256" s="4" t="str">
        <f>HYPERLINK("https://www.digikey.tw/zh/products/detail/yageo/AC0603FR-0721KL/5895915","AC0603FR-0721KL")</f>
        <v>AC0603FR-0721KL</v>
      </c>
      <c r="H256" s="10" t="s">
        <v>621</v>
      </c>
      <c r="N256" s="13">
        <v>4</v>
      </c>
      <c r="O256" t="s">
        <v>681</v>
      </c>
    </row>
    <row r="257" spans="1:15" x14ac:dyDescent="0.25">
      <c r="A257" t="s">
        <v>682</v>
      </c>
      <c r="B257" s="2" t="str">
        <f>IF(ISNA(_xlfn.XMATCH(A257,PURCHASE!$A:$A)),"先入料",_xlfn.XLOOKUP(A257,PURCHASE!A:A,PURCHASE!B:B))</f>
        <v>R</v>
      </c>
      <c r="C257" s="2" cm="1">
        <f t="array" ref="C257">IF(ISNA(_xlfn.XMATCH(A257,PURCHASE!$A:$A)),"先入料",SUMPRODUCT((PURCHASE!$A$2:$A$997=MAIN!A257)*PURCHASE!$C$2:$C$997)-SUMPRODUCT((CONSUME!$A$2:$A$992=MAIN!A257)*CONSUME!$C$2:$C$992))</f>
        <v>0</v>
      </c>
      <c r="D257" s="2">
        <f>IF(ISNA(_xlfn.XMATCH(A257,PURCHASE!$A:$A)),"先入料",_xlfn.XLOOKUP(A257,PURCHASE!A:A,PURCHASE!D:D))</f>
        <v>0</v>
      </c>
      <c r="E257" s="4" t="str">
        <f t="shared" ref="E257" si="2">HYPERLINK("https://www.digikey.tw/zh/products/detail/yageo/RC0603FR-07100KL/726889","RC0603FR-07100KL")</f>
        <v>RC0603FR-07100KL</v>
      </c>
      <c r="H257" s="10" t="s">
        <v>621</v>
      </c>
      <c r="N257" s="13">
        <v>1</v>
      </c>
      <c r="O257" t="s">
        <v>681</v>
      </c>
    </row>
    <row r="258" spans="1:15" x14ac:dyDescent="0.25">
      <c r="A258" t="s">
        <v>683</v>
      </c>
      <c r="B258" s="2" t="str">
        <f>IF(ISNA(_xlfn.XMATCH(A258,PURCHASE!$A:$A)),"先入料",_xlfn.XLOOKUP(A258,PURCHASE!A:A,PURCHASE!B:B))</f>
        <v>R</v>
      </c>
      <c r="C258" s="2" cm="1">
        <f t="array" ref="C258">IF(ISNA(_xlfn.XMATCH(A258,PURCHASE!$A:$A)),"先入料",SUMPRODUCT((PURCHASE!$A$2:$A$997=MAIN!A258)*PURCHASE!$C$2:$C$997)-SUMPRODUCT((CONSUME!$A$2:$A$992=MAIN!A258)*CONSUME!$C$2:$C$992))</f>
        <v>0</v>
      </c>
      <c r="D258" s="2">
        <f>IF(ISNA(_xlfn.XMATCH(A258,PURCHASE!$A:$A)),"先入料",_xlfn.XLOOKUP(A258,PURCHASE!A:A,PURCHASE!D:D))</f>
        <v>0</v>
      </c>
      <c r="E258" s="4" t="str">
        <f>HYPERLINK("https://www.digikey.tw/zh/products/detail/yageo/AC0603FR-0747K5L/5896141","AC0603FR-0747K5L")</f>
        <v>AC0603FR-0747K5L</v>
      </c>
      <c r="H258" s="10" t="s">
        <v>621</v>
      </c>
      <c r="N258" s="13">
        <v>1</v>
      </c>
      <c r="O258" t="s">
        <v>684</v>
      </c>
    </row>
    <row r="259" spans="1:15" x14ac:dyDescent="0.25">
      <c r="A259" t="s">
        <v>685</v>
      </c>
      <c r="B259" s="2" t="str">
        <f>IF(ISNA(_xlfn.XMATCH(A259,PURCHASE!$A:$A)),"先入料",_xlfn.XLOOKUP(A259,PURCHASE!A:A,PURCHASE!B:B))</f>
        <v>R</v>
      </c>
      <c r="C259" s="2" cm="1">
        <f t="array" ref="C259">IF(ISNA(_xlfn.XMATCH(A259,PURCHASE!$A:$A)),"先入料",SUMPRODUCT((PURCHASE!$A$2:$A$997=MAIN!A259)*PURCHASE!$C$2:$C$997)-SUMPRODUCT((CONSUME!$A$2:$A$992=MAIN!A259)*CONSUME!$C$2:$C$992))</f>
        <v>0</v>
      </c>
      <c r="D259" s="2">
        <f>IF(ISNA(_xlfn.XMATCH(A259,PURCHASE!$A:$A)),"先入料",_xlfn.XLOOKUP(A259,PURCHASE!A:A,PURCHASE!D:D))</f>
        <v>0</v>
      </c>
      <c r="E259" s="4" t="str">
        <f>HYPERLINK("https://www.digikey.tw/zh/products/detail/yageo/AC0603JR-070RL/2827828","AC0603JR-070RL")</f>
        <v>AC0603JR-070RL</v>
      </c>
      <c r="H259" s="10" t="s">
        <v>692</v>
      </c>
      <c r="J259" s="13">
        <v>1</v>
      </c>
      <c r="N259" s="13">
        <v>3</v>
      </c>
      <c r="O259" t="s">
        <v>686</v>
      </c>
    </row>
    <row r="260" spans="1:15" x14ac:dyDescent="0.25">
      <c r="A260" t="s">
        <v>687</v>
      </c>
      <c r="B260" s="2" t="str">
        <f>IF(ISNA(_xlfn.XMATCH(A260,PURCHASE!$A:$A)),"先入料",_xlfn.XLOOKUP(A260,PURCHASE!A:A,PURCHASE!B:B))</f>
        <v>R</v>
      </c>
      <c r="C260" s="2" cm="1">
        <f t="array" ref="C260">IF(ISNA(_xlfn.XMATCH(A260,PURCHASE!$A:$A)),"先入料",SUMPRODUCT((PURCHASE!$A$2:$A$997=MAIN!A260)*PURCHASE!$C$2:$C$997)-SUMPRODUCT((CONSUME!$A$2:$A$992=MAIN!A260)*CONSUME!$C$2:$C$992))</f>
        <v>0</v>
      </c>
      <c r="D260" s="2">
        <f>IF(ISNA(_xlfn.XMATCH(A260,PURCHASE!$A:$A)),"先入料",_xlfn.XLOOKUP(A260,PURCHASE!A:A,PURCHASE!D:D))</f>
        <v>0</v>
      </c>
      <c r="E260" s="4" t="str">
        <f>HYPERLINK("https://www.digikey.tw/zh/products/detail/yageo/AF0402FR-07120RL/5900413","AF0402FR-07120RL")</f>
        <v>AF0402FR-07120RL</v>
      </c>
      <c r="H260" s="10" t="s">
        <v>692</v>
      </c>
      <c r="J260" s="13">
        <v>3</v>
      </c>
      <c r="N260" s="13">
        <v>3</v>
      </c>
      <c r="O260" t="s">
        <v>688</v>
      </c>
    </row>
    <row r="261" spans="1:15" x14ac:dyDescent="0.25">
      <c r="A261" t="s">
        <v>689</v>
      </c>
      <c r="B261" s="2" t="str">
        <f>IF(ISNA(_xlfn.XMATCH(A261,PURCHASE!$A:$A)),"先入料",_xlfn.XLOOKUP(A261,PURCHASE!A:A,PURCHASE!B:B))</f>
        <v>R</v>
      </c>
      <c r="C261" s="2" cm="1">
        <f t="array" ref="C261">IF(ISNA(_xlfn.XMATCH(A261,PURCHASE!$A:$A)),"先入料",SUMPRODUCT((PURCHASE!$A$2:$A$997=MAIN!A261)*PURCHASE!$C$2:$C$997)-SUMPRODUCT((CONSUME!$A$2:$A$992=MAIN!A261)*CONSUME!$C$2:$C$992))</f>
        <v>0</v>
      </c>
      <c r="D261" s="2">
        <f>IF(ISNA(_xlfn.XMATCH(A261,PURCHASE!$A:$A)),"先入料",_xlfn.XLOOKUP(A261,PURCHASE!A:A,PURCHASE!D:D))</f>
        <v>0</v>
      </c>
      <c r="E261" s="4" t="str">
        <f>HYPERLINK("https://www.digikey.tw/zh/products/detail/yageo/RC0402JR-07620RL/726498","RC0402JR-07620RL")</f>
        <v>RC0402JR-07620RL</v>
      </c>
      <c r="H261" s="10" t="s">
        <v>621</v>
      </c>
      <c r="N261" s="13">
        <v>2</v>
      </c>
      <c r="O261" t="s">
        <v>690</v>
      </c>
    </row>
    <row r="262" spans="1:15" x14ac:dyDescent="0.25">
      <c r="A262" t="s">
        <v>695</v>
      </c>
      <c r="B262" s="2" t="str">
        <f>IF(ISNA(_xlfn.XMATCH(A262,PURCHASE!$A:$A)),"先入料",_xlfn.XLOOKUP(A262,PURCHASE!A:A,PURCHASE!B:B))</f>
        <v>R</v>
      </c>
      <c r="C262" s="2" cm="1">
        <f t="array" ref="C262">IF(ISNA(_xlfn.XMATCH(A262,PURCHASE!$A:$A)),"先入料",SUMPRODUCT((PURCHASE!$A$2:$A$997=MAIN!A262)*PURCHASE!$C$2:$C$997)-SUMPRODUCT((CONSUME!$A$2:$A$992=MAIN!A262)*CONSUME!$C$2:$C$992))</f>
        <v>0</v>
      </c>
      <c r="D262" s="2" t="str">
        <f>IF(ISNA(_xlfn.XMATCH(A262,PURCHASE!$A:$A)),"先入料",_xlfn.XLOOKUP(A262,PURCHASE!A:A,PURCHASE!D:D))</f>
        <v>A7-2</v>
      </c>
      <c r="E262" s="4" t="str">
        <f>HYPERLINK("https://www.digikey.tw/zh/products/detail/bourns-inc/CR2512-J-000ELF/2345096","CR2512-J/-000ELF")</f>
        <v>CR2512-J/-000ELF</v>
      </c>
      <c r="H262" s="10" t="s">
        <v>554</v>
      </c>
      <c r="K262" s="13">
        <v>1</v>
      </c>
      <c r="O262" t="s">
        <v>696</v>
      </c>
    </row>
    <row r="263" spans="1:15" x14ac:dyDescent="0.25">
      <c r="A263" t="s">
        <v>697</v>
      </c>
      <c r="B263" s="2" t="str">
        <f>IF(ISNA(_xlfn.XMATCH(A263,PURCHASE!$A:$A)),"先入料",_xlfn.XLOOKUP(A263,PURCHASE!A:A,PURCHASE!B:B))</f>
        <v>OP</v>
      </c>
      <c r="C263" s="2" cm="1">
        <f t="array" ref="C263">IF(ISNA(_xlfn.XMATCH(A263,PURCHASE!$A:$A)),"先入料",SUMPRODUCT((PURCHASE!$A$2:$A$997=MAIN!A263)*PURCHASE!$C$2:$C$997)-SUMPRODUCT((CONSUME!$A$2:$A$992=MAIN!A263)*CONSUME!$C$2:$C$992))</f>
        <v>0</v>
      </c>
      <c r="D263" s="2" t="str">
        <f>IF(ISNA(_xlfn.XMATCH(A263,PURCHASE!$A:$A)),"先入料",_xlfn.XLOOKUP(A263,PURCHASE!A:A,PURCHASE!D:D))</f>
        <v>A8-2</v>
      </c>
      <c r="E263" s="4" t="str">
        <f>HYPERLINK("https://www.digikey.tw/zh/products/detail/texas-instruments/THS4541QRGTRQ1/5823404","THS4541QRGTRQ1")</f>
        <v>THS4541QRGTRQ1</v>
      </c>
      <c r="F263" s="4" t="str">
        <f>HYPERLINK("https://polarisphotonics-my.sharepoint.com/personal/bw_shiau_polarisphotonics_com/Documents/papers/IC/OP/ths4541.pdf","pdf")</f>
        <v>pdf</v>
      </c>
      <c r="H263" s="10" t="s">
        <v>380</v>
      </c>
      <c r="O263" t="s">
        <v>698</v>
      </c>
    </row>
    <row r="264" spans="1:15" x14ac:dyDescent="0.25">
      <c r="A264" t="s">
        <v>699</v>
      </c>
      <c r="B264" s="2" t="str">
        <f>IF(ISNA(_xlfn.XMATCH(A264,PURCHASE!$A:$A)),"先入料",_xlfn.XLOOKUP(A264,PURCHASE!A:A,PURCHASE!B:B))</f>
        <v>MUX</v>
      </c>
      <c r="C264" s="2" cm="1">
        <f t="array" ref="C264">IF(ISNA(_xlfn.XMATCH(A264,PURCHASE!$A:$A)),"先入料",SUMPRODUCT((PURCHASE!$A$2:$A$997=MAIN!A264)*PURCHASE!$C$2:$C$997)-SUMPRODUCT((CONSUME!$A$2:$A$992=MAIN!A264)*CONSUME!$C$2:$C$992))</f>
        <v>5</v>
      </c>
      <c r="D264" s="2" t="str">
        <f>IF(ISNA(_xlfn.XMATCH(A264,PURCHASE!$A:$A)),"先入料",_xlfn.XLOOKUP(A264,PURCHASE!A:A,PURCHASE!D:D))</f>
        <v>A3-2</v>
      </c>
      <c r="E264" s="4" t="str">
        <f>HYPERLINK("https://www.digikey.tw/zh/products/detail/renesas-electronics-america-inc/ISL84714IHZ-T/821568", "ISL84714IHZ-T")</f>
        <v>ISL84714IHZ-T</v>
      </c>
      <c r="F264" s="4" t="str">
        <f>HYPERLINK("https://www.renesas.com/us/en/document/dst/isl84714-datasheet","pdf")</f>
        <v>pdf</v>
      </c>
      <c r="H264" s="10" t="s">
        <v>668</v>
      </c>
      <c r="N264" s="13">
        <v>1</v>
      </c>
      <c r="O264" t="s">
        <v>700</v>
      </c>
    </row>
    <row r="265" spans="1:15" x14ac:dyDescent="0.25">
      <c r="A265" t="s">
        <v>702</v>
      </c>
      <c r="B265" s="2" t="str">
        <f>IF(ISNA(_xlfn.XMATCH(A265,PURCHASE!$A:$A)),"先入料",_xlfn.XLOOKUP(A265,PURCHASE!A:A,PURCHASE!B:B))</f>
        <v>先入料</v>
      </c>
    </row>
    <row r="266" spans="1:15" x14ac:dyDescent="0.25">
      <c r="D266" s="2">
        <f>IF(ISNA(_xlfn.XMATCH(A266,PURCHASE!$A:$A)),"先入料",_xlfn.XLOOKUP(A266,PURCHASE!A:A,PURCHASE!D:D))</f>
        <v>0</v>
      </c>
    </row>
    <row r="267" spans="1:15" x14ac:dyDescent="0.25">
      <c r="D267" s="2">
        <f>IF(ISNA(_xlfn.XMATCH(A267,PURCHASE!$A:$A)),"先入料",_xlfn.XLOOKUP(A267,PURCHASE!A:A,PURCHASE!D:D))</f>
        <v>0</v>
      </c>
    </row>
    <row r="268" spans="1:15" x14ac:dyDescent="0.25">
      <c r="D268" s="2">
        <f>IF(ISNA(_xlfn.XMATCH(A268,PURCHASE!$A:$A)),"先入料",_xlfn.XLOOKUP(A268,PURCHASE!A:A,PURCHASE!D:D))</f>
        <v>0</v>
      </c>
    </row>
    <row r="269" spans="1:15" x14ac:dyDescent="0.25">
      <c r="D269" s="2">
        <f>IF(ISNA(_xlfn.XMATCH(A269,PURCHASE!$A:$A)),"先入料",_xlfn.XLOOKUP(A269,PURCHASE!A:A,PURCHASE!D:D))</f>
        <v>0</v>
      </c>
    </row>
    <row r="270" spans="1:15" x14ac:dyDescent="0.25">
      <c r="D270" s="2">
        <f>IF(ISNA(_xlfn.XMATCH(A270,PURCHASE!$A:$A)),"先入料",_xlfn.XLOOKUP(A270,PURCHASE!A:A,PURCHASE!D:D))</f>
        <v>0</v>
      </c>
    </row>
    <row r="271" spans="1:15" x14ac:dyDescent="0.25">
      <c r="A271" t="s">
        <v>706</v>
      </c>
      <c r="B271" s="2" t="str">
        <f>IF(ISNA(_xlfn.XMATCH(A271,PURCHASE!$A:$A)),"先入料",_xlfn.XLOOKUP(A271,PURCHASE!A:A,PURCHASE!B:B))</f>
        <v>PCB</v>
      </c>
      <c r="C271" s="2" cm="1">
        <f t="array" ref="C271">IF(ISNA(_xlfn.XMATCH(A271,PURCHASE!$A:$A)),"先入料",SUMPRODUCT((PURCHASE!$A$2:$A$997=MAIN!A271)*PURCHASE!$C$2:$C$997)-SUMPRODUCT((CONSUME!$A$2:$A$992=MAIN!A271)*CONSUME!$C$2:$C$992))</f>
        <v>2</v>
      </c>
      <c r="D271" s="2" t="str">
        <f>IF(ISNA(_xlfn.XMATCH(A271,PURCHASE!$A:$A)),"先入料",_xlfn.XLOOKUP(A271,PURCHASE!A:A,PURCHASE!D:D))</f>
        <v>防潮櫃</v>
      </c>
      <c r="H271" s="10" t="s">
        <v>621</v>
      </c>
      <c r="N271" s="13">
        <v>1</v>
      </c>
      <c r="O271" t="s">
        <v>711</v>
      </c>
    </row>
    <row r="1048549" spans="2:2" x14ac:dyDescent="0.25">
      <c r="B1048549" s="2">
        <f>IF(ISNA(_xlfn.XMATCH(A1048549,PURCHASE!$A:$A)),"先入料",_xlfn.XLOOKUP(A1048549,PURCHASE!A:A,PURCHASE!B:B))</f>
        <v>0</v>
      </c>
    </row>
    <row r="1048564" spans="8:8" x14ac:dyDescent="0.25">
      <c r="H1048564" s="10" t="s">
        <v>621</v>
      </c>
    </row>
  </sheetData>
  <autoFilter ref="A1:O271" xr:uid="{95E0E698-DA89-4ED9-B0E6-26394B23DC20}"/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4BB82-A6CF-4B6B-8AF2-3C2D2F79CA05}">
  <sheetPr codeName="工作表2" filterMode="1"/>
  <dimension ref="A1:H1048576"/>
  <sheetViews>
    <sheetView workbookViewId="0">
      <pane ySplit="1" topLeftCell="A122" activePane="bottomLeft" state="frozen"/>
      <selection pane="bottomLeft" activeCell="A323" sqref="A323"/>
    </sheetView>
  </sheetViews>
  <sheetFormatPr defaultRowHeight="15.75" x14ac:dyDescent="0.25"/>
  <cols>
    <col min="1" max="1" width="55.28515625" bestFit="1" customWidth="1"/>
    <col min="2" max="2" width="10" style="2" bestFit="1" customWidth="1"/>
    <col min="3" max="3" width="10.42578125" style="2" bestFit="1" customWidth="1"/>
    <col min="4" max="4" width="16.85546875" style="2" bestFit="1" customWidth="1"/>
    <col min="5" max="5" width="17.7109375" style="2" bestFit="1" customWidth="1"/>
    <col min="6" max="6" width="11.85546875" style="2" bestFit="1" customWidth="1"/>
    <col min="7" max="7" width="11" bestFit="1" customWidth="1"/>
    <col min="8" max="8" width="9.5703125" bestFit="1" customWidth="1"/>
  </cols>
  <sheetData>
    <row r="1" spans="1:8" s="1" customFormat="1" x14ac:dyDescent="0.25">
      <c r="A1" s="1" t="s">
        <v>0</v>
      </c>
      <c r="B1" s="2" t="s">
        <v>19</v>
      </c>
      <c r="C1" s="2" t="s">
        <v>1</v>
      </c>
      <c r="D1" s="2" t="s">
        <v>284</v>
      </c>
      <c r="E1" s="2" t="s">
        <v>16</v>
      </c>
      <c r="F1" s="2" t="s">
        <v>4</v>
      </c>
      <c r="G1" s="1" t="s">
        <v>285</v>
      </c>
      <c r="H1" s="1" t="s">
        <v>2</v>
      </c>
    </row>
    <row r="2" spans="1:8" hidden="1" x14ac:dyDescent="0.25">
      <c r="A2" t="s">
        <v>14</v>
      </c>
      <c r="B2" s="2" t="s">
        <v>5</v>
      </c>
      <c r="C2" s="2">
        <v>6</v>
      </c>
      <c r="D2" s="2" t="s">
        <v>416</v>
      </c>
      <c r="E2" s="2">
        <v>130</v>
      </c>
      <c r="F2" s="3">
        <v>44336</v>
      </c>
      <c r="H2" s="23" t="s">
        <v>167</v>
      </c>
    </row>
    <row r="3" spans="1:8" hidden="1" x14ac:dyDescent="0.25">
      <c r="A3" t="s">
        <v>65</v>
      </c>
      <c r="B3" s="2" t="s">
        <v>13</v>
      </c>
      <c r="C3" s="2">
        <v>0</v>
      </c>
      <c r="E3" s="2">
        <v>45</v>
      </c>
      <c r="F3" s="3"/>
      <c r="H3" s="25">
        <f>COUNTA(A:A)</f>
        <v>326</v>
      </c>
    </row>
    <row r="4" spans="1:8" hidden="1" x14ac:dyDescent="0.25">
      <c r="A4" t="s">
        <v>66</v>
      </c>
      <c r="B4" s="2" t="s">
        <v>13</v>
      </c>
      <c r="C4" s="2">
        <v>0</v>
      </c>
      <c r="E4" s="2">
        <v>93.02</v>
      </c>
      <c r="F4" s="3"/>
    </row>
    <row r="5" spans="1:8" hidden="1" x14ac:dyDescent="0.25">
      <c r="A5" t="s">
        <v>68</v>
      </c>
      <c r="B5" s="2" t="s">
        <v>12</v>
      </c>
      <c r="C5" s="2">
        <v>0</v>
      </c>
      <c r="E5" s="2">
        <v>177</v>
      </c>
      <c r="F5" s="3"/>
    </row>
    <row r="6" spans="1:8" hidden="1" x14ac:dyDescent="0.25">
      <c r="A6" t="s">
        <v>69</v>
      </c>
      <c r="B6" s="2" t="s">
        <v>12</v>
      </c>
      <c r="C6" s="2">
        <v>6</v>
      </c>
      <c r="D6" s="2" t="s">
        <v>398</v>
      </c>
      <c r="E6" s="2">
        <v>168</v>
      </c>
      <c r="F6" s="3">
        <v>44336</v>
      </c>
    </row>
    <row r="7" spans="1:8" hidden="1" x14ac:dyDescent="0.25">
      <c r="A7" t="s">
        <v>32</v>
      </c>
      <c r="B7" s="2" t="s">
        <v>34</v>
      </c>
      <c r="C7" s="2">
        <v>0</v>
      </c>
      <c r="E7" s="2">
        <v>1193</v>
      </c>
      <c r="F7" s="3"/>
    </row>
    <row r="8" spans="1:8" hidden="1" x14ac:dyDescent="0.25">
      <c r="A8" t="s">
        <v>33</v>
      </c>
      <c r="B8" s="2" t="s">
        <v>34</v>
      </c>
      <c r="C8" s="2">
        <v>2</v>
      </c>
      <c r="D8" s="2" t="s">
        <v>582</v>
      </c>
      <c r="E8" s="2">
        <v>1152</v>
      </c>
      <c r="F8" s="3">
        <v>44354</v>
      </c>
    </row>
    <row r="9" spans="1:8" hidden="1" x14ac:dyDescent="0.25">
      <c r="A9" t="s">
        <v>41</v>
      </c>
      <c r="B9" s="2" t="s">
        <v>42</v>
      </c>
      <c r="C9" s="2">
        <v>20</v>
      </c>
      <c r="D9" s="2" t="s">
        <v>703</v>
      </c>
      <c r="E9" s="2">
        <v>171</v>
      </c>
      <c r="F9" s="3">
        <v>44669</v>
      </c>
    </row>
    <row r="10" spans="1:8" hidden="1" x14ac:dyDescent="0.25">
      <c r="A10" t="s">
        <v>159</v>
      </c>
      <c r="B10" s="2" t="s">
        <v>42</v>
      </c>
      <c r="C10" s="2">
        <v>3</v>
      </c>
      <c r="D10" s="2" t="s">
        <v>405</v>
      </c>
      <c r="E10" s="2">
        <v>54</v>
      </c>
      <c r="F10" s="3">
        <v>44336</v>
      </c>
    </row>
    <row r="11" spans="1:8" hidden="1" x14ac:dyDescent="0.25">
      <c r="A11" t="s">
        <v>48</v>
      </c>
      <c r="B11" s="2" t="s">
        <v>7</v>
      </c>
      <c r="C11" s="2">
        <v>0</v>
      </c>
      <c r="E11" s="2">
        <v>14.4</v>
      </c>
      <c r="F11" s="3">
        <v>44336</v>
      </c>
    </row>
    <row r="12" spans="1:8" hidden="1" x14ac:dyDescent="0.25">
      <c r="A12" t="s">
        <v>45</v>
      </c>
      <c r="B12" s="2" t="s">
        <v>7</v>
      </c>
      <c r="C12" s="2">
        <v>0</v>
      </c>
      <c r="E12" s="2">
        <v>106</v>
      </c>
    </row>
    <row r="13" spans="1:8" hidden="1" x14ac:dyDescent="0.25">
      <c r="A13" t="s">
        <v>46</v>
      </c>
      <c r="B13" s="2" t="s">
        <v>7</v>
      </c>
      <c r="C13" s="2">
        <v>0</v>
      </c>
      <c r="E13" s="2">
        <v>119</v>
      </c>
    </row>
    <row r="14" spans="1:8" hidden="1" x14ac:dyDescent="0.25">
      <c r="A14" t="s">
        <v>51</v>
      </c>
      <c r="B14" s="2" t="s">
        <v>52</v>
      </c>
      <c r="C14" s="2">
        <v>10</v>
      </c>
      <c r="D14" s="2" t="s">
        <v>403</v>
      </c>
      <c r="E14" s="2">
        <v>19.399999999999999</v>
      </c>
      <c r="F14" s="3">
        <v>44336</v>
      </c>
    </row>
    <row r="15" spans="1:8" hidden="1" x14ac:dyDescent="0.25">
      <c r="A15" t="s">
        <v>54</v>
      </c>
      <c r="B15" s="2" t="s">
        <v>7</v>
      </c>
      <c r="C15" s="2">
        <v>3</v>
      </c>
      <c r="D15" s="2" t="s">
        <v>415</v>
      </c>
      <c r="E15" s="2">
        <v>17</v>
      </c>
      <c r="F15" s="3">
        <v>44336</v>
      </c>
    </row>
    <row r="16" spans="1:8" hidden="1" x14ac:dyDescent="0.25">
      <c r="A16" t="s">
        <v>57</v>
      </c>
      <c r="B16" s="2" t="s">
        <v>12</v>
      </c>
      <c r="C16" s="2">
        <v>10</v>
      </c>
      <c r="D16" s="2" t="s">
        <v>401</v>
      </c>
      <c r="E16" s="2">
        <v>37</v>
      </c>
      <c r="F16" s="3">
        <v>44336</v>
      </c>
    </row>
    <row r="17" spans="1:6" hidden="1" x14ac:dyDescent="0.25">
      <c r="A17" t="s">
        <v>58</v>
      </c>
      <c r="B17" s="2" t="s">
        <v>12</v>
      </c>
      <c r="C17" s="2">
        <v>0</v>
      </c>
      <c r="E17" s="2">
        <v>3</v>
      </c>
    </row>
    <row r="18" spans="1:6" hidden="1" x14ac:dyDescent="0.25">
      <c r="A18" t="s">
        <v>62</v>
      </c>
      <c r="B18" s="2" t="s">
        <v>60</v>
      </c>
      <c r="C18" s="2">
        <v>0</v>
      </c>
      <c r="E18" s="2">
        <v>14</v>
      </c>
    </row>
    <row r="19" spans="1:6" hidden="1" x14ac:dyDescent="0.25">
      <c r="A19" t="s">
        <v>64</v>
      </c>
      <c r="B19" s="2" t="s">
        <v>13</v>
      </c>
      <c r="C19" s="2">
        <v>6</v>
      </c>
      <c r="D19" s="2" t="s">
        <v>408</v>
      </c>
      <c r="E19" s="2">
        <v>70</v>
      </c>
      <c r="F19" s="3">
        <v>44336</v>
      </c>
    </row>
    <row r="20" spans="1:6" hidden="1" x14ac:dyDescent="0.25">
      <c r="A20" t="s">
        <v>70</v>
      </c>
      <c r="B20" s="2" t="s">
        <v>12</v>
      </c>
      <c r="C20" s="2">
        <v>0</v>
      </c>
      <c r="E20" s="2">
        <v>3</v>
      </c>
    </row>
    <row r="21" spans="1:6" hidden="1" x14ac:dyDescent="0.25">
      <c r="A21" t="s">
        <v>72</v>
      </c>
      <c r="B21" s="2" t="s">
        <v>12</v>
      </c>
      <c r="C21" s="2">
        <v>0</v>
      </c>
      <c r="E21" s="2">
        <v>3</v>
      </c>
    </row>
    <row r="22" spans="1:6" hidden="1" x14ac:dyDescent="0.25">
      <c r="A22" t="s">
        <v>267</v>
      </c>
      <c r="B22" s="2" t="s">
        <v>75</v>
      </c>
      <c r="C22" s="2">
        <v>10</v>
      </c>
      <c r="D22" s="2" t="s">
        <v>418</v>
      </c>
      <c r="E22" s="2">
        <v>12.6</v>
      </c>
      <c r="F22" s="3">
        <v>44336</v>
      </c>
    </row>
    <row r="23" spans="1:6" hidden="1" x14ac:dyDescent="0.25">
      <c r="A23" t="s">
        <v>78</v>
      </c>
      <c r="B23" s="2" t="s">
        <v>12</v>
      </c>
      <c r="C23" s="2">
        <v>0</v>
      </c>
      <c r="E23" s="2">
        <v>3</v>
      </c>
    </row>
    <row r="24" spans="1:6" hidden="1" x14ac:dyDescent="0.25">
      <c r="A24" t="s">
        <v>80</v>
      </c>
      <c r="B24" s="2" t="s">
        <v>12</v>
      </c>
      <c r="C24" s="2">
        <v>50</v>
      </c>
      <c r="D24" s="2" t="s">
        <v>400</v>
      </c>
      <c r="E24" s="2">
        <v>2.6</v>
      </c>
      <c r="F24" s="3">
        <v>44336</v>
      </c>
    </row>
    <row r="25" spans="1:6" hidden="1" x14ac:dyDescent="0.25">
      <c r="A25" t="s">
        <v>83</v>
      </c>
      <c r="B25" s="2" t="s">
        <v>7</v>
      </c>
      <c r="C25" s="2">
        <v>10</v>
      </c>
      <c r="D25" s="2" t="s">
        <v>414</v>
      </c>
      <c r="E25" s="2">
        <v>17</v>
      </c>
    </row>
    <row r="26" spans="1:6" hidden="1" x14ac:dyDescent="0.25">
      <c r="A26" t="s">
        <v>166</v>
      </c>
      <c r="B26" s="2" t="s">
        <v>7</v>
      </c>
      <c r="C26" s="2">
        <v>10</v>
      </c>
      <c r="D26" s="2" t="s">
        <v>413</v>
      </c>
      <c r="E26" s="2">
        <v>25.7</v>
      </c>
      <c r="F26" s="3">
        <v>44336</v>
      </c>
    </row>
    <row r="27" spans="1:6" hidden="1" x14ac:dyDescent="0.25">
      <c r="A27" t="s">
        <v>134</v>
      </c>
      <c r="B27" s="2" t="s">
        <v>50</v>
      </c>
      <c r="C27" s="2">
        <v>0</v>
      </c>
      <c r="E27" s="2">
        <v>16</v>
      </c>
    </row>
    <row r="28" spans="1:6" hidden="1" x14ac:dyDescent="0.25">
      <c r="A28" t="s">
        <v>93</v>
      </c>
      <c r="B28" s="2" t="s">
        <v>90</v>
      </c>
      <c r="C28" s="2">
        <v>3</v>
      </c>
      <c r="D28" s="2" t="s">
        <v>407</v>
      </c>
      <c r="E28" s="2">
        <v>45</v>
      </c>
      <c r="F28" s="3">
        <v>44336</v>
      </c>
    </row>
    <row r="29" spans="1:6" hidden="1" x14ac:dyDescent="0.25">
      <c r="A29" t="s">
        <v>94</v>
      </c>
      <c r="B29" s="2" t="s">
        <v>88</v>
      </c>
      <c r="C29" s="2">
        <v>10</v>
      </c>
      <c r="D29" s="2" t="s">
        <v>707</v>
      </c>
      <c r="E29" s="2">
        <v>9</v>
      </c>
      <c r="F29" s="3">
        <v>44336</v>
      </c>
    </row>
    <row r="30" spans="1:6" hidden="1" x14ac:dyDescent="0.25">
      <c r="A30" t="s">
        <v>96</v>
      </c>
      <c r="B30" s="2" t="s">
        <v>88</v>
      </c>
      <c r="C30" s="2">
        <v>20</v>
      </c>
      <c r="D30" s="2" t="s">
        <v>707</v>
      </c>
      <c r="E30" s="2">
        <v>13.5</v>
      </c>
      <c r="F30" s="3">
        <v>44336</v>
      </c>
    </row>
    <row r="31" spans="1:6" hidden="1" x14ac:dyDescent="0.25">
      <c r="A31" t="s">
        <v>104</v>
      </c>
      <c r="B31" s="2" t="s">
        <v>11</v>
      </c>
      <c r="C31" s="2">
        <v>0</v>
      </c>
      <c r="E31" s="2">
        <v>4</v>
      </c>
    </row>
    <row r="32" spans="1:6" hidden="1" x14ac:dyDescent="0.25">
      <c r="A32" t="s">
        <v>105</v>
      </c>
      <c r="B32" s="2" t="s">
        <v>11</v>
      </c>
      <c r="C32" s="2">
        <v>0</v>
      </c>
      <c r="E32" s="2">
        <v>11</v>
      </c>
    </row>
    <row r="33" spans="1:6" hidden="1" x14ac:dyDescent="0.25">
      <c r="A33" t="s">
        <v>108</v>
      </c>
      <c r="B33" s="2" t="s">
        <v>109</v>
      </c>
      <c r="C33" s="2">
        <v>10</v>
      </c>
      <c r="D33" s="2" t="s">
        <v>417</v>
      </c>
      <c r="E33" s="2">
        <v>18.3</v>
      </c>
      <c r="F33" s="3">
        <v>44336</v>
      </c>
    </row>
    <row r="34" spans="1:6" hidden="1" x14ac:dyDescent="0.25">
      <c r="A34" t="s">
        <v>113</v>
      </c>
      <c r="B34" s="2" t="s">
        <v>12</v>
      </c>
      <c r="C34" s="2">
        <v>50</v>
      </c>
      <c r="D34" s="2" t="s">
        <v>399</v>
      </c>
      <c r="E34" s="2">
        <v>2.58</v>
      </c>
      <c r="F34" s="3">
        <v>44336</v>
      </c>
    </row>
    <row r="35" spans="1:6" hidden="1" x14ac:dyDescent="0.25">
      <c r="A35" t="s">
        <v>114</v>
      </c>
      <c r="B35" s="2" t="s">
        <v>30</v>
      </c>
      <c r="C35" s="2">
        <v>1</v>
      </c>
      <c r="D35" s="2" t="s">
        <v>421</v>
      </c>
      <c r="E35" s="2">
        <v>709</v>
      </c>
      <c r="F35" s="3">
        <v>44336</v>
      </c>
    </row>
    <row r="36" spans="1:6" hidden="1" x14ac:dyDescent="0.25">
      <c r="A36" t="s">
        <v>117</v>
      </c>
      <c r="B36" s="2" t="s">
        <v>30</v>
      </c>
      <c r="C36" s="2">
        <v>0</v>
      </c>
      <c r="E36" s="2">
        <v>190</v>
      </c>
    </row>
    <row r="37" spans="1:6" hidden="1" x14ac:dyDescent="0.25">
      <c r="A37" t="s">
        <v>119</v>
      </c>
      <c r="B37" s="2" t="s">
        <v>11</v>
      </c>
      <c r="C37" s="2">
        <v>0</v>
      </c>
      <c r="E37" s="2">
        <v>4</v>
      </c>
    </row>
    <row r="38" spans="1:6" hidden="1" x14ac:dyDescent="0.25">
      <c r="A38" t="s">
        <v>120</v>
      </c>
      <c r="B38" s="2" t="s">
        <v>11</v>
      </c>
      <c r="C38" s="2">
        <v>0</v>
      </c>
      <c r="E38" s="2">
        <v>3</v>
      </c>
    </row>
    <row r="39" spans="1:6" hidden="1" x14ac:dyDescent="0.25">
      <c r="A39" t="s">
        <v>121</v>
      </c>
      <c r="B39" s="2" t="s">
        <v>11</v>
      </c>
      <c r="C39" s="2">
        <v>0</v>
      </c>
      <c r="E39" s="2">
        <v>4</v>
      </c>
    </row>
    <row r="40" spans="1:6" hidden="1" x14ac:dyDescent="0.25">
      <c r="A40" t="s">
        <v>125</v>
      </c>
      <c r="B40" s="2" t="s">
        <v>126</v>
      </c>
      <c r="C40" s="2">
        <v>0</v>
      </c>
      <c r="E40" s="2">
        <v>20</v>
      </c>
    </row>
    <row r="41" spans="1:6" hidden="1" x14ac:dyDescent="0.25">
      <c r="A41" t="s">
        <v>129</v>
      </c>
      <c r="B41" s="2" t="s">
        <v>128</v>
      </c>
      <c r="C41" s="2">
        <v>10</v>
      </c>
      <c r="D41" s="2" t="s">
        <v>406</v>
      </c>
      <c r="E41" s="2">
        <v>6.4</v>
      </c>
      <c r="F41" s="3">
        <v>44336</v>
      </c>
    </row>
    <row r="42" spans="1:6" hidden="1" x14ac:dyDescent="0.25">
      <c r="A42" t="s">
        <v>131</v>
      </c>
      <c r="B42" s="2" t="s">
        <v>11</v>
      </c>
      <c r="C42" s="2">
        <v>0</v>
      </c>
      <c r="E42" s="2">
        <v>3</v>
      </c>
    </row>
    <row r="43" spans="1:6" hidden="1" x14ac:dyDescent="0.25">
      <c r="A43" t="s">
        <v>133</v>
      </c>
      <c r="B43" s="2" t="s">
        <v>11</v>
      </c>
      <c r="C43" s="2">
        <v>0</v>
      </c>
      <c r="E43" s="2">
        <v>7</v>
      </c>
    </row>
    <row r="44" spans="1:6" hidden="1" x14ac:dyDescent="0.25">
      <c r="A44" t="s">
        <v>135</v>
      </c>
      <c r="B44" s="2" t="s">
        <v>50</v>
      </c>
      <c r="C44" s="2">
        <v>10</v>
      </c>
      <c r="D44" s="2" t="s">
        <v>419</v>
      </c>
      <c r="E44" s="2">
        <v>14.1</v>
      </c>
      <c r="F44" s="3">
        <v>44336</v>
      </c>
    </row>
    <row r="45" spans="1:6" hidden="1" x14ac:dyDescent="0.25">
      <c r="A45" t="s">
        <v>137</v>
      </c>
      <c r="B45" s="2" t="s">
        <v>60</v>
      </c>
      <c r="C45" s="2">
        <v>10</v>
      </c>
      <c r="D45" s="2" t="s">
        <v>411</v>
      </c>
      <c r="E45" s="2">
        <v>10.8</v>
      </c>
      <c r="F45" s="3">
        <v>44336</v>
      </c>
    </row>
    <row r="46" spans="1:6" hidden="1" x14ac:dyDescent="0.25">
      <c r="A46" t="s">
        <v>140</v>
      </c>
      <c r="B46" s="2" t="s">
        <v>11</v>
      </c>
      <c r="C46" s="2">
        <v>0</v>
      </c>
      <c r="E46" s="2">
        <v>5</v>
      </c>
    </row>
    <row r="47" spans="1:6" hidden="1" x14ac:dyDescent="0.25">
      <c r="A47" t="s">
        <v>141</v>
      </c>
      <c r="B47" s="2" t="s">
        <v>11</v>
      </c>
      <c r="C47" s="2">
        <v>0</v>
      </c>
      <c r="E47" s="2">
        <v>5</v>
      </c>
    </row>
    <row r="48" spans="1:6" hidden="1" x14ac:dyDescent="0.25">
      <c r="A48" t="s">
        <v>144</v>
      </c>
      <c r="B48" s="2" t="s">
        <v>37</v>
      </c>
      <c r="C48" s="2">
        <v>3</v>
      </c>
      <c r="D48" s="2" t="s">
        <v>404</v>
      </c>
      <c r="E48" s="2">
        <v>60</v>
      </c>
      <c r="F48" s="3">
        <v>44336</v>
      </c>
    </row>
    <row r="49" spans="1:7" hidden="1" x14ac:dyDescent="0.25">
      <c r="A49" t="s">
        <v>146</v>
      </c>
      <c r="B49" s="2" t="s">
        <v>60</v>
      </c>
      <c r="C49" s="2">
        <v>10</v>
      </c>
      <c r="D49" s="2" t="s">
        <v>410</v>
      </c>
      <c r="E49" s="2">
        <v>10</v>
      </c>
      <c r="F49" s="3">
        <v>44336</v>
      </c>
    </row>
    <row r="50" spans="1:7" x14ac:dyDescent="0.25">
      <c r="A50" t="s">
        <v>150</v>
      </c>
      <c r="B50" s="2" t="s">
        <v>149</v>
      </c>
      <c r="C50" s="2">
        <v>10</v>
      </c>
      <c r="E50" s="2">
        <v>174.3</v>
      </c>
      <c r="F50" s="3">
        <v>44347</v>
      </c>
    </row>
    <row r="51" spans="1:7" hidden="1" x14ac:dyDescent="0.25">
      <c r="A51" t="s">
        <v>169</v>
      </c>
      <c r="B51" s="2" t="s">
        <v>9</v>
      </c>
      <c r="C51" s="2">
        <v>6</v>
      </c>
      <c r="D51" s="2" t="s">
        <v>452</v>
      </c>
      <c r="E51" s="2">
        <v>2779</v>
      </c>
      <c r="F51" s="3">
        <v>44449</v>
      </c>
    </row>
    <row r="52" spans="1:7" hidden="1" x14ac:dyDescent="0.25">
      <c r="A52" t="s">
        <v>170</v>
      </c>
      <c r="B52" s="2" t="s">
        <v>10</v>
      </c>
      <c r="C52" s="2">
        <v>3</v>
      </c>
      <c r="D52" s="2" t="s">
        <v>489</v>
      </c>
      <c r="E52" s="2">
        <v>1142</v>
      </c>
    </row>
    <row r="53" spans="1:7" hidden="1" x14ac:dyDescent="0.25">
      <c r="A53" t="s">
        <v>154</v>
      </c>
      <c r="B53" s="2" t="s">
        <v>7</v>
      </c>
      <c r="C53" s="2">
        <v>0</v>
      </c>
      <c r="E53" s="2">
        <v>321</v>
      </c>
    </row>
    <row r="54" spans="1:7" hidden="1" x14ac:dyDescent="0.25">
      <c r="A54" t="s">
        <v>158</v>
      </c>
      <c r="B54" s="2" t="s">
        <v>156</v>
      </c>
      <c r="C54" s="2">
        <v>10</v>
      </c>
      <c r="D54" s="2" t="s">
        <v>498</v>
      </c>
      <c r="E54" s="2">
        <v>74</v>
      </c>
      <c r="F54" s="3">
        <v>44481</v>
      </c>
    </row>
    <row r="55" spans="1:7" hidden="1" x14ac:dyDescent="0.25">
      <c r="A55" t="s">
        <v>163</v>
      </c>
      <c r="B55" s="2" t="s">
        <v>49</v>
      </c>
      <c r="C55" s="2">
        <v>0</v>
      </c>
      <c r="E55" s="2">
        <v>13</v>
      </c>
    </row>
    <row r="56" spans="1:7" hidden="1" x14ac:dyDescent="0.25">
      <c r="A56" t="s">
        <v>171</v>
      </c>
      <c r="B56" s="2" t="s">
        <v>168</v>
      </c>
      <c r="C56" s="2">
        <v>0</v>
      </c>
      <c r="E56" s="2">
        <v>3277</v>
      </c>
    </row>
    <row r="57" spans="1:7" hidden="1" x14ac:dyDescent="0.25">
      <c r="A57" t="s">
        <v>177</v>
      </c>
      <c r="B57" s="2" t="s">
        <v>168</v>
      </c>
      <c r="C57" s="2">
        <v>0</v>
      </c>
      <c r="E57" s="2">
        <v>1258</v>
      </c>
    </row>
    <row r="58" spans="1:7" hidden="1" x14ac:dyDescent="0.25">
      <c r="A58" t="s">
        <v>175</v>
      </c>
      <c r="B58" s="2" t="s">
        <v>168</v>
      </c>
      <c r="C58" s="2">
        <v>11</v>
      </c>
      <c r="D58" s="2" t="s">
        <v>393</v>
      </c>
      <c r="E58" s="2">
        <v>1428</v>
      </c>
      <c r="F58" s="36">
        <v>44439</v>
      </c>
    </row>
    <row r="59" spans="1:7" hidden="1" x14ac:dyDescent="0.25">
      <c r="A59" t="s">
        <v>180</v>
      </c>
      <c r="B59" s="2" t="s">
        <v>173</v>
      </c>
      <c r="C59" s="2">
        <v>0</v>
      </c>
      <c r="E59" s="2">
        <v>272</v>
      </c>
    </row>
    <row r="60" spans="1:7" hidden="1" x14ac:dyDescent="0.25">
      <c r="A60" t="s">
        <v>181</v>
      </c>
      <c r="B60" s="2" t="s">
        <v>173</v>
      </c>
      <c r="C60" s="2">
        <v>0</v>
      </c>
      <c r="E60" s="2">
        <v>228</v>
      </c>
      <c r="F60" s="34"/>
      <c r="G60" s="34"/>
    </row>
    <row r="61" spans="1:7" hidden="1" x14ac:dyDescent="0.25">
      <c r="A61" t="s">
        <v>184</v>
      </c>
      <c r="B61" s="2" t="s">
        <v>88</v>
      </c>
      <c r="C61" s="2">
        <v>25</v>
      </c>
      <c r="D61" s="2" t="s">
        <v>448</v>
      </c>
      <c r="E61" s="2">
        <v>30</v>
      </c>
      <c r="F61" s="34">
        <v>44450</v>
      </c>
      <c r="G61" s="34"/>
    </row>
    <row r="62" spans="1:7" hidden="1" x14ac:dyDescent="0.25">
      <c r="A62" t="s">
        <v>185</v>
      </c>
      <c r="B62" s="2" t="s">
        <v>88</v>
      </c>
      <c r="C62" s="2">
        <v>25</v>
      </c>
      <c r="D62" s="2" t="s">
        <v>449</v>
      </c>
      <c r="E62" s="2">
        <v>32</v>
      </c>
      <c r="F62" s="34">
        <v>44450</v>
      </c>
      <c r="G62" s="34"/>
    </row>
    <row r="63" spans="1:7" hidden="1" x14ac:dyDescent="0.25">
      <c r="A63" t="s">
        <v>188</v>
      </c>
      <c r="B63" s="2" t="s">
        <v>88</v>
      </c>
      <c r="C63" s="2">
        <v>0</v>
      </c>
      <c r="E63" s="2">
        <v>9</v>
      </c>
      <c r="F63" s="34"/>
      <c r="G63" s="34"/>
    </row>
    <row r="64" spans="1:7" hidden="1" x14ac:dyDescent="0.25">
      <c r="A64" t="s">
        <v>189</v>
      </c>
      <c r="B64" s="2" t="s">
        <v>12</v>
      </c>
      <c r="C64" s="2">
        <v>0</v>
      </c>
      <c r="E64" s="2">
        <v>3</v>
      </c>
      <c r="F64" s="34"/>
      <c r="G64" s="34"/>
    </row>
    <row r="65" spans="1:8" hidden="1" x14ac:dyDescent="0.25">
      <c r="A65" t="s">
        <v>191</v>
      </c>
      <c r="B65" s="2" t="s">
        <v>13</v>
      </c>
      <c r="C65" s="2">
        <v>0</v>
      </c>
      <c r="D65" s="2" t="s">
        <v>409</v>
      </c>
      <c r="E65" s="2">
        <v>7</v>
      </c>
      <c r="F65" s="34"/>
      <c r="G65" s="34"/>
    </row>
    <row r="66" spans="1:8" hidden="1" x14ac:dyDescent="0.25">
      <c r="A66" t="s">
        <v>193</v>
      </c>
      <c r="B66" s="2" t="s">
        <v>12</v>
      </c>
      <c r="C66" s="2">
        <v>0</v>
      </c>
      <c r="E66" s="2">
        <v>6</v>
      </c>
      <c r="F66" s="34"/>
      <c r="G66" s="34"/>
    </row>
    <row r="67" spans="1:8" hidden="1" x14ac:dyDescent="0.25">
      <c r="A67" t="s">
        <v>195</v>
      </c>
      <c r="B67" s="2" t="s">
        <v>11</v>
      </c>
      <c r="C67" s="2">
        <v>0</v>
      </c>
      <c r="E67" s="2">
        <v>3</v>
      </c>
      <c r="F67" s="34"/>
      <c r="G67" s="34"/>
    </row>
    <row r="68" spans="1:8" hidden="1" x14ac:dyDescent="0.25">
      <c r="A68" t="s">
        <v>197</v>
      </c>
      <c r="B68" s="2" t="s">
        <v>11</v>
      </c>
      <c r="C68" s="2">
        <v>0</v>
      </c>
      <c r="E68" s="2">
        <v>3</v>
      </c>
      <c r="F68" s="34"/>
      <c r="G68" s="34"/>
    </row>
    <row r="69" spans="1:8" hidden="1" x14ac:dyDescent="0.25">
      <c r="A69" t="s">
        <v>199</v>
      </c>
      <c r="B69" s="2" t="s">
        <v>11</v>
      </c>
      <c r="C69" s="2">
        <v>0</v>
      </c>
      <c r="E69" s="2">
        <v>3</v>
      </c>
      <c r="F69" s="34"/>
      <c r="G69" s="34"/>
    </row>
    <row r="70" spans="1:8" hidden="1" x14ac:dyDescent="0.25">
      <c r="A70" t="s">
        <v>201</v>
      </c>
      <c r="B70" s="2" t="s">
        <v>11</v>
      </c>
      <c r="C70" s="2">
        <v>0</v>
      </c>
      <c r="E70" s="2">
        <v>3</v>
      </c>
      <c r="F70" s="34"/>
      <c r="G70" s="34"/>
    </row>
    <row r="71" spans="1:8" hidden="1" x14ac:dyDescent="0.25">
      <c r="A71" t="s">
        <v>69</v>
      </c>
      <c r="B71" s="2" t="s">
        <v>12</v>
      </c>
      <c r="C71" s="2">
        <v>10</v>
      </c>
      <c r="E71" s="2">
        <v>230</v>
      </c>
      <c r="F71" s="34">
        <v>44412</v>
      </c>
      <c r="G71" s="34"/>
      <c r="H71" s="2">
        <v>10</v>
      </c>
    </row>
    <row r="72" spans="1:8" hidden="1" x14ac:dyDescent="0.25">
      <c r="A72" t="s">
        <v>57</v>
      </c>
      <c r="B72" s="2" t="s">
        <v>12</v>
      </c>
      <c r="C72" s="2">
        <v>11</v>
      </c>
      <c r="D72" s="2" t="s">
        <v>401</v>
      </c>
      <c r="E72" s="2">
        <v>51</v>
      </c>
      <c r="F72" s="34">
        <v>44412</v>
      </c>
      <c r="G72" s="34"/>
      <c r="H72" s="2">
        <v>11</v>
      </c>
    </row>
    <row r="73" spans="1:8" hidden="1" x14ac:dyDescent="0.25">
      <c r="A73" t="s">
        <v>80</v>
      </c>
      <c r="B73" s="2" t="s">
        <v>12</v>
      </c>
      <c r="C73" s="2">
        <v>13</v>
      </c>
      <c r="E73" s="2">
        <v>9</v>
      </c>
      <c r="F73" s="34">
        <v>44412</v>
      </c>
      <c r="G73" s="34"/>
      <c r="H73" s="2">
        <v>13</v>
      </c>
    </row>
    <row r="74" spans="1:8" hidden="1" x14ac:dyDescent="0.25">
      <c r="A74" t="s">
        <v>93</v>
      </c>
      <c r="B74" s="2" t="str">
        <f>IF(ISNA(_xlfn.XMATCH(A74,PURCHASE!$A:$A)),"先入料",_xlfn.XLOOKUP(A74,PURCHASE!A:A,PURCHASE!B:B))</f>
        <v>CON</v>
      </c>
      <c r="C74" s="2">
        <v>4</v>
      </c>
      <c r="E74" s="2">
        <v>61</v>
      </c>
      <c r="F74" s="34">
        <v>44412</v>
      </c>
      <c r="G74" s="34"/>
      <c r="H74" s="2">
        <v>4</v>
      </c>
    </row>
    <row r="75" spans="1:8" hidden="1" x14ac:dyDescent="0.25">
      <c r="A75" t="s">
        <v>146</v>
      </c>
      <c r="B75" s="2" t="s">
        <v>60</v>
      </c>
      <c r="C75" s="2">
        <v>4</v>
      </c>
      <c r="E75" s="2">
        <v>17</v>
      </c>
      <c r="F75" s="34">
        <v>44412</v>
      </c>
      <c r="G75" s="34"/>
      <c r="H75" s="2">
        <v>4</v>
      </c>
    </row>
    <row r="76" spans="1:8" hidden="1" x14ac:dyDescent="0.25">
      <c r="A76" t="s">
        <v>33</v>
      </c>
      <c r="B76" s="2" t="str">
        <f>IF(ISNA(_xlfn.XMATCH(A76,PURCHASE!$A:$A)),"先入料",_xlfn.XLOOKUP(A76,PURCHASE!A:A,PURCHASE!B:B))</f>
        <v>EVB</v>
      </c>
      <c r="C76" s="2">
        <v>0</v>
      </c>
      <c r="E76" s="2">
        <v>1142</v>
      </c>
      <c r="F76" s="34"/>
      <c r="G76" s="34"/>
      <c r="H76" s="2"/>
    </row>
    <row r="77" spans="1:8" hidden="1" x14ac:dyDescent="0.25">
      <c r="A77" t="s">
        <v>114</v>
      </c>
      <c r="B77" s="2" t="str">
        <f>IF(ISNA(_xlfn.XMATCH(A77,PURCHASE!$A:$A)),"先入料",_xlfn.XLOOKUP(A77,PURCHASE!A:A,PURCHASE!B:B))</f>
        <v>EVB</v>
      </c>
      <c r="C77" s="2">
        <v>4</v>
      </c>
      <c r="E77" s="2">
        <v>960</v>
      </c>
      <c r="F77" s="34">
        <v>44411</v>
      </c>
      <c r="G77" s="34"/>
      <c r="H77" s="2"/>
    </row>
    <row r="78" spans="1:8" hidden="1" x14ac:dyDescent="0.25">
      <c r="A78" t="s">
        <v>64</v>
      </c>
      <c r="B78" s="2" t="s">
        <v>13</v>
      </c>
      <c r="C78" s="2">
        <v>8</v>
      </c>
      <c r="E78" s="2">
        <v>94</v>
      </c>
      <c r="F78" s="34">
        <v>44412</v>
      </c>
      <c r="G78" s="34"/>
      <c r="H78" s="2">
        <v>8</v>
      </c>
    </row>
    <row r="79" spans="1:8" hidden="1" x14ac:dyDescent="0.25">
      <c r="A79" t="s">
        <v>191</v>
      </c>
      <c r="B79" s="2" t="s">
        <v>13</v>
      </c>
      <c r="C79" s="2">
        <v>20</v>
      </c>
      <c r="E79" s="2">
        <v>10</v>
      </c>
      <c r="F79" s="34">
        <v>44412</v>
      </c>
      <c r="G79" s="34"/>
      <c r="H79" s="2">
        <v>20</v>
      </c>
    </row>
    <row r="80" spans="1:8" hidden="1" x14ac:dyDescent="0.25">
      <c r="A80" t="s">
        <v>83</v>
      </c>
      <c r="B80" s="2" t="str">
        <f>IF(ISNA(_xlfn.XMATCH(A80,PURCHASE!$A:$A)),"先入料",_xlfn.XLOOKUP(A80,PURCHASE!A:A,PURCHASE!B:B))</f>
        <v>LDO</v>
      </c>
      <c r="C80" s="2">
        <v>11</v>
      </c>
      <c r="E80" s="2">
        <v>23</v>
      </c>
      <c r="F80" s="34">
        <v>44412</v>
      </c>
      <c r="G80" s="34"/>
      <c r="H80" s="2">
        <v>11</v>
      </c>
    </row>
    <row r="81" spans="1:8" hidden="1" x14ac:dyDescent="0.25">
      <c r="A81" t="s">
        <v>54</v>
      </c>
      <c r="B81" s="2" t="str">
        <f>IF(ISNA(_xlfn.XMATCH(A81,PURCHASE!$A:$A)),"先入料",_xlfn.XLOOKUP(A81,PURCHASE!A:A,PURCHASE!B:B))</f>
        <v>LDO</v>
      </c>
      <c r="C81" s="2">
        <v>0</v>
      </c>
      <c r="E81" s="2">
        <v>17</v>
      </c>
      <c r="F81" s="34"/>
      <c r="G81" s="34"/>
      <c r="H81" s="2">
        <v>4</v>
      </c>
    </row>
    <row r="82" spans="1:8" hidden="1" x14ac:dyDescent="0.25">
      <c r="A82" t="s">
        <v>166</v>
      </c>
      <c r="B82" s="2" t="str">
        <f>IF(ISNA(_xlfn.XMATCH(A82,PURCHASE!$A:$A)),"先入料",_xlfn.XLOOKUP(A82,PURCHASE!A:A,PURCHASE!B:B))</f>
        <v>LDO</v>
      </c>
      <c r="C82" s="2">
        <v>4</v>
      </c>
      <c r="E82" s="2">
        <v>38</v>
      </c>
      <c r="F82" s="34">
        <v>44412</v>
      </c>
      <c r="G82" s="34"/>
      <c r="H82" s="2">
        <v>4</v>
      </c>
    </row>
    <row r="83" spans="1:8" hidden="1" x14ac:dyDescent="0.25">
      <c r="A83" t="s">
        <v>129</v>
      </c>
      <c r="B83" s="2" t="str">
        <f>IF(ISNA(_xlfn.XMATCH(A83,PURCHASE!$A:$A)),"先入料",_xlfn.XLOOKUP(A83,PURCHASE!A:A,PURCHASE!B:B))</f>
        <v>LED</v>
      </c>
      <c r="C83" s="2">
        <v>110</v>
      </c>
      <c r="E83" s="2">
        <v>6.3</v>
      </c>
      <c r="F83" s="34">
        <v>44411</v>
      </c>
      <c r="G83" s="34"/>
      <c r="H83" s="2">
        <v>10</v>
      </c>
    </row>
    <row r="84" spans="1:8" hidden="1" x14ac:dyDescent="0.25">
      <c r="A84" t="s">
        <v>51</v>
      </c>
      <c r="B84" s="2" t="str">
        <f>IF(ISNA(_xlfn.XMATCH(A84,PURCHASE!$A:$A)),"先入料",_xlfn.XLOOKUP(A84,PURCHASE!A:A,PURCHASE!B:B))</f>
        <v>LS</v>
      </c>
      <c r="C84" s="2">
        <v>4</v>
      </c>
      <c r="D84" s="2" t="s">
        <v>403</v>
      </c>
      <c r="E84" s="2">
        <v>32</v>
      </c>
      <c r="F84" s="34">
        <v>44412</v>
      </c>
      <c r="G84" s="34"/>
      <c r="H84" s="2">
        <v>4</v>
      </c>
    </row>
    <row r="85" spans="1:8" hidden="1" x14ac:dyDescent="0.25">
      <c r="A85" t="s">
        <v>14</v>
      </c>
      <c r="B85" s="2" t="str">
        <f>IF(ISNA(_xlfn.XMATCH(A85,PURCHASE!$A:$A)),"先入料",_xlfn.XLOOKUP(A85,PURCHASE!A:A,PURCHASE!B:B))</f>
        <v>POW</v>
      </c>
      <c r="C85" s="2">
        <v>10</v>
      </c>
      <c r="E85" s="2">
        <v>200</v>
      </c>
      <c r="F85" s="34">
        <v>44412</v>
      </c>
      <c r="G85" s="34"/>
      <c r="H85" s="2">
        <v>10</v>
      </c>
    </row>
    <row r="86" spans="1:8" hidden="1" x14ac:dyDescent="0.25">
      <c r="A86" t="s">
        <v>159</v>
      </c>
      <c r="B86" s="2" t="s">
        <v>37</v>
      </c>
      <c r="C86" s="2">
        <v>4</v>
      </c>
      <c r="E86" s="2">
        <v>84</v>
      </c>
      <c r="F86" s="34">
        <v>44412</v>
      </c>
      <c r="G86" s="34"/>
      <c r="H86" s="2">
        <v>4</v>
      </c>
    </row>
    <row r="87" spans="1:8" hidden="1" x14ac:dyDescent="0.25">
      <c r="A87" t="s">
        <v>144</v>
      </c>
      <c r="B87" s="2" t="s">
        <v>37</v>
      </c>
      <c r="C87" s="2">
        <v>4</v>
      </c>
      <c r="E87" s="2">
        <v>97</v>
      </c>
      <c r="F87" s="34">
        <v>44411</v>
      </c>
      <c r="G87" s="34"/>
      <c r="H87" s="2"/>
    </row>
    <row r="88" spans="1:8" hidden="1" x14ac:dyDescent="0.25">
      <c r="A88" t="s">
        <v>203</v>
      </c>
      <c r="B88" s="2" t="s">
        <v>88</v>
      </c>
      <c r="C88" s="2">
        <v>10</v>
      </c>
      <c r="D88" s="2" t="s">
        <v>412</v>
      </c>
      <c r="E88" s="2">
        <v>64</v>
      </c>
      <c r="F88" s="34">
        <v>44412</v>
      </c>
      <c r="G88" s="34"/>
      <c r="H88" s="2">
        <v>10</v>
      </c>
    </row>
    <row r="89" spans="1:8" hidden="1" x14ac:dyDescent="0.25">
      <c r="A89" t="s">
        <v>205</v>
      </c>
      <c r="B89" s="2" t="s">
        <v>12</v>
      </c>
      <c r="C89" s="2">
        <v>0</v>
      </c>
      <c r="E89" s="2">
        <v>18</v>
      </c>
      <c r="F89" s="34"/>
      <c r="G89" s="34"/>
    </row>
    <row r="90" spans="1:8" hidden="1" x14ac:dyDescent="0.25">
      <c r="A90" t="s">
        <v>207</v>
      </c>
      <c r="B90" s="2" t="s">
        <v>12</v>
      </c>
      <c r="C90" s="2">
        <v>0</v>
      </c>
      <c r="E90" s="2">
        <v>7</v>
      </c>
      <c r="F90" s="34"/>
      <c r="G90" s="34"/>
    </row>
    <row r="91" spans="1:8" hidden="1" x14ac:dyDescent="0.25">
      <c r="A91" t="s">
        <v>209</v>
      </c>
      <c r="B91" s="2" t="s">
        <v>11</v>
      </c>
      <c r="C91" s="2">
        <v>0</v>
      </c>
      <c r="E91" s="2">
        <v>3</v>
      </c>
      <c r="F91" s="34"/>
      <c r="G91" s="34"/>
    </row>
    <row r="92" spans="1:8" hidden="1" x14ac:dyDescent="0.25">
      <c r="A92" t="s">
        <v>211</v>
      </c>
      <c r="B92" s="2" t="s">
        <v>12</v>
      </c>
      <c r="C92" s="2">
        <v>50</v>
      </c>
      <c r="D92" s="2" t="s">
        <v>402</v>
      </c>
      <c r="E92" s="2">
        <v>3</v>
      </c>
      <c r="F92" s="34">
        <v>44411</v>
      </c>
      <c r="G92" s="34"/>
    </row>
    <row r="93" spans="1:8" hidden="1" x14ac:dyDescent="0.25">
      <c r="A93" t="s">
        <v>214</v>
      </c>
      <c r="B93" s="2" t="s">
        <v>12</v>
      </c>
      <c r="C93" s="2">
        <v>10</v>
      </c>
      <c r="D93" s="2" t="s">
        <v>583</v>
      </c>
      <c r="E93" s="2">
        <v>11</v>
      </c>
      <c r="F93" s="34"/>
      <c r="G93" s="34"/>
    </row>
    <row r="94" spans="1:8" hidden="1" x14ac:dyDescent="0.25">
      <c r="A94" t="s">
        <v>215</v>
      </c>
      <c r="B94" s="2" t="s">
        <v>12</v>
      </c>
      <c r="C94" s="2">
        <v>0</v>
      </c>
      <c r="E94" s="2">
        <v>6</v>
      </c>
      <c r="F94" s="34"/>
      <c r="G94" s="34"/>
    </row>
    <row r="95" spans="1:8" hidden="1" x14ac:dyDescent="0.25">
      <c r="A95" t="s">
        <v>217</v>
      </c>
      <c r="B95" s="2" t="s">
        <v>12</v>
      </c>
      <c r="C95" s="2">
        <v>0</v>
      </c>
      <c r="E95" s="2">
        <v>4</v>
      </c>
      <c r="F95" s="34"/>
      <c r="G95" s="34"/>
    </row>
    <row r="96" spans="1:8" hidden="1" x14ac:dyDescent="0.25">
      <c r="A96" t="s">
        <v>219</v>
      </c>
      <c r="B96" s="2" t="s">
        <v>12</v>
      </c>
      <c r="C96" s="2">
        <v>0</v>
      </c>
      <c r="E96" s="2">
        <v>3</v>
      </c>
      <c r="F96" s="34"/>
      <c r="G96" s="34"/>
    </row>
    <row r="97" spans="1:7" hidden="1" x14ac:dyDescent="0.25">
      <c r="A97" t="s">
        <v>422</v>
      </c>
      <c r="B97" s="2" t="s">
        <v>221</v>
      </c>
      <c r="C97" s="2">
        <v>0</v>
      </c>
      <c r="E97" s="2">
        <v>82</v>
      </c>
      <c r="F97" s="34"/>
      <c r="G97" s="34"/>
    </row>
    <row r="98" spans="1:7" hidden="1" x14ac:dyDescent="0.25">
      <c r="A98" t="s">
        <v>224</v>
      </c>
      <c r="B98" s="2" t="s">
        <v>12</v>
      </c>
      <c r="C98" s="2">
        <v>0</v>
      </c>
      <c r="E98" s="2">
        <v>3</v>
      </c>
      <c r="F98" s="34"/>
      <c r="G98" s="34"/>
    </row>
    <row r="99" spans="1:7" hidden="1" x14ac:dyDescent="0.25">
      <c r="A99" t="s">
        <v>226</v>
      </c>
      <c r="B99" s="2" t="s">
        <v>11</v>
      </c>
      <c r="C99" s="2">
        <v>0</v>
      </c>
      <c r="E99" s="2">
        <v>3</v>
      </c>
      <c r="F99" s="34"/>
      <c r="G99" s="34"/>
    </row>
    <row r="100" spans="1:7" hidden="1" x14ac:dyDescent="0.25">
      <c r="A100" t="s">
        <v>228</v>
      </c>
      <c r="B100" s="2" t="s">
        <v>50</v>
      </c>
      <c r="C100" s="2">
        <v>25</v>
      </c>
      <c r="D100" s="2" t="s">
        <v>493</v>
      </c>
      <c r="E100" s="2">
        <v>77</v>
      </c>
      <c r="F100" s="34"/>
      <c r="G100" s="34"/>
    </row>
    <row r="101" spans="1:7" hidden="1" x14ac:dyDescent="0.25">
      <c r="A101" t="s">
        <v>231</v>
      </c>
      <c r="B101" s="2" t="s">
        <v>50</v>
      </c>
      <c r="C101" s="2">
        <v>0</v>
      </c>
      <c r="D101" s="2" t="s">
        <v>559</v>
      </c>
      <c r="E101" s="2">
        <v>245</v>
      </c>
      <c r="F101" s="34"/>
      <c r="G101" s="34"/>
    </row>
    <row r="102" spans="1:7" hidden="1" x14ac:dyDescent="0.25">
      <c r="A102" t="s">
        <v>232</v>
      </c>
      <c r="B102" s="2" t="s">
        <v>11</v>
      </c>
      <c r="C102" s="2">
        <v>0</v>
      </c>
      <c r="E102" s="2">
        <v>3</v>
      </c>
      <c r="F102" s="34"/>
      <c r="G102" s="34"/>
    </row>
    <row r="103" spans="1:7" hidden="1" x14ac:dyDescent="0.25">
      <c r="A103" t="s">
        <v>249</v>
      </c>
      <c r="B103" s="2" t="s">
        <v>11</v>
      </c>
      <c r="C103" s="2">
        <v>0</v>
      </c>
      <c r="E103" s="2">
        <v>3</v>
      </c>
      <c r="F103" s="34"/>
      <c r="G103" s="34"/>
    </row>
    <row r="104" spans="1:7" hidden="1" x14ac:dyDescent="0.25">
      <c r="A104" t="s">
        <v>248</v>
      </c>
      <c r="B104" s="2" t="s">
        <v>11</v>
      </c>
      <c r="C104" s="2">
        <v>0</v>
      </c>
      <c r="E104" s="2">
        <v>3</v>
      </c>
      <c r="F104" s="34"/>
      <c r="G104" s="34"/>
    </row>
    <row r="105" spans="1:7" hidden="1" x14ac:dyDescent="0.25">
      <c r="A105" t="s">
        <v>234</v>
      </c>
      <c r="B105" s="2" t="s">
        <v>12</v>
      </c>
      <c r="C105" s="2">
        <v>0</v>
      </c>
      <c r="E105" s="2">
        <v>3</v>
      </c>
      <c r="F105" s="34"/>
      <c r="G105" s="34"/>
    </row>
    <row r="106" spans="1:7" hidden="1" x14ac:dyDescent="0.25">
      <c r="A106" t="s">
        <v>236</v>
      </c>
      <c r="B106" s="2" t="s">
        <v>11</v>
      </c>
      <c r="C106" s="2">
        <v>0</v>
      </c>
      <c r="E106" s="2">
        <v>3</v>
      </c>
      <c r="F106" s="34"/>
      <c r="G106" s="34"/>
    </row>
    <row r="107" spans="1:7" hidden="1" x14ac:dyDescent="0.25">
      <c r="A107" t="s">
        <v>238</v>
      </c>
      <c r="B107" s="2" t="s">
        <v>12</v>
      </c>
      <c r="C107" s="2">
        <v>0</v>
      </c>
      <c r="E107" s="2">
        <v>3</v>
      </c>
      <c r="F107" s="34"/>
      <c r="G107" s="34"/>
    </row>
    <row r="108" spans="1:7" hidden="1" x14ac:dyDescent="0.25">
      <c r="A108" t="s">
        <v>240</v>
      </c>
      <c r="B108" s="2" t="s">
        <v>11</v>
      </c>
      <c r="C108" s="2">
        <v>0</v>
      </c>
      <c r="E108" s="2">
        <v>3</v>
      </c>
      <c r="F108" s="34"/>
      <c r="G108" s="34"/>
    </row>
    <row r="109" spans="1:7" hidden="1" x14ac:dyDescent="0.25">
      <c r="A109" t="s">
        <v>242</v>
      </c>
      <c r="B109" s="2" t="s">
        <v>12</v>
      </c>
      <c r="C109" s="2">
        <v>0</v>
      </c>
      <c r="E109" s="2">
        <v>3</v>
      </c>
      <c r="F109" s="34"/>
      <c r="G109" s="34"/>
    </row>
    <row r="110" spans="1:7" hidden="1" x14ac:dyDescent="0.25">
      <c r="A110" t="s">
        <v>244</v>
      </c>
      <c r="B110" s="2" t="s">
        <v>11</v>
      </c>
      <c r="C110" s="2">
        <v>0</v>
      </c>
      <c r="E110" s="2">
        <v>3</v>
      </c>
      <c r="F110" s="34"/>
      <c r="G110" s="34"/>
    </row>
    <row r="111" spans="1:7" hidden="1" x14ac:dyDescent="0.25">
      <c r="A111" t="s">
        <v>246</v>
      </c>
      <c r="B111" s="2" t="s">
        <v>11</v>
      </c>
      <c r="C111" s="2">
        <v>0</v>
      </c>
      <c r="E111" s="2">
        <v>3</v>
      </c>
      <c r="F111" s="34"/>
      <c r="G111" s="34"/>
    </row>
    <row r="112" spans="1:7" hidden="1" x14ac:dyDescent="0.25">
      <c r="A112" t="s">
        <v>252</v>
      </c>
      <c r="B112" s="2" t="s">
        <v>11</v>
      </c>
      <c r="C112" s="2">
        <v>0</v>
      </c>
      <c r="E112" s="2">
        <v>3</v>
      </c>
      <c r="F112" s="34"/>
      <c r="G112" s="34"/>
    </row>
    <row r="113" spans="1:7" hidden="1" x14ac:dyDescent="0.25">
      <c r="A113" t="s">
        <v>254</v>
      </c>
      <c r="B113" s="2" t="s">
        <v>11</v>
      </c>
      <c r="C113" s="2">
        <v>0</v>
      </c>
      <c r="E113" s="2">
        <v>3</v>
      </c>
      <c r="F113" s="34"/>
      <c r="G113" s="34"/>
    </row>
    <row r="114" spans="1:7" hidden="1" x14ac:dyDescent="0.25">
      <c r="A114" t="s">
        <v>256</v>
      </c>
      <c r="B114" s="2" t="s">
        <v>11</v>
      </c>
      <c r="C114" s="2">
        <v>0</v>
      </c>
      <c r="E114" s="2">
        <v>3</v>
      </c>
      <c r="F114" s="34"/>
      <c r="G114" s="34"/>
    </row>
    <row r="115" spans="1:7" hidden="1" x14ac:dyDescent="0.25">
      <c r="A115" t="s">
        <v>258</v>
      </c>
      <c r="B115" s="2" t="s">
        <v>11</v>
      </c>
      <c r="C115" s="2">
        <v>100</v>
      </c>
      <c r="D115" s="2" t="s">
        <v>573</v>
      </c>
      <c r="E115" s="2">
        <v>3</v>
      </c>
      <c r="F115" s="34"/>
      <c r="G115" s="34"/>
    </row>
    <row r="116" spans="1:7" hidden="1" x14ac:dyDescent="0.25">
      <c r="A116" t="s">
        <v>260</v>
      </c>
      <c r="B116" s="2" t="s">
        <v>11</v>
      </c>
      <c r="C116" s="2">
        <v>0</v>
      </c>
      <c r="E116" s="2">
        <v>3</v>
      </c>
      <c r="F116" s="34"/>
      <c r="G116" s="34"/>
    </row>
    <row r="117" spans="1:7" hidden="1" x14ac:dyDescent="0.25">
      <c r="A117" t="s">
        <v>262</v>
      </c>
      <c r="B117" s="2" t="s">
        <v>11</v>
      </c>
      <c r="C117" s="2">
        <v>100</v>
      </c>
      <c r="D117" s="2" t="s">
        <v>574</v>
      </c>
      <c r="E117" s="2">
        <v>3</v>
      </c>
      <c r="F117" s="34"/>
      <c r="G117" s="34"/>
    </row>
    <row r="118" spans="1:7" hidden="1" x14ac:dyDescent="0.25">
      <c r="A118" t="s">
        <v>264</v>
      </c>
      <c r="B118" s="2" t="s">
        <v>265</v>
      </c>
      <c r="C118" s="2">
        <v>0</v>
      </c>
      <c r="E118" s="2">
        <v>24</v>
      </c>
      <c r="F118" s="34"/>
      <c r="G118" s="34"/>
    </row>
    <row r="119" spans="1:7" hidden="1" x14ac:dyDescent="0.25">
      <c r="A119" t="s">
        <v>268</v>
      </c>
      <c r="B119" s="2" t="s">
        <v>12</v>
      </c>
      <c r="C119" s="2">
        <v>10</v>
      </c>
      <c r="D119" s="2" t="s">
        <v>456</v>
      </c>
      <c r="E119" s="2">
        <v>33</v>
      </c>
      <c r="F119" s="34"/>
      <c r="G119" s="34"/>
    </row>
    <row r="120" spans="1:7" hidden="1" x14ac:dyDescent="0.25">
      <c r="A120" t="s">
        <v>270</v>
      </c>
      <c r="B120" s="2" t="s">
        <v>12</v>
      </c>
      <c r="C120" s="2">
        <v>20</v>
      </c>
      <c r="D120" s="2" t="s">
        <v>583</v>
      </c>
      <c r="E120" s="2">
        <v>32</v>
      </c>
      <c r="F120" s="34">
        <v>44449</v>
      </c>
      <c r="G120" s="34"/>
    </row>
    <row r="121" spans="1:7" hidden="1" x14ac:dyDescent="0.25">
      <c r="A121" t="s">
        <v>342</v>
      </c>
      <c r="B121" s="2" t="s">
        <v>12</v>
      </c>
      <c r="C121" s="2">
        <v>0</v>
      </c>
      <c r="E121" s="2">
        <v>6</v>
      </c>
      <c r="F121" s="34"/>
      <c r="G121" s="34"/>
    </row>
    <row r="122" spans="1:7" x14ac:dyDescent="0.25">
      <c r="A122" t="s">
        <v>273</v>
      </c>
      <c r="B122" s="2" t="s">
        <v>149</v>
      </c>
      <c r="C122" s="2">
        <v>10</v>
      </c>
      <c r="E122" s="2">
        <v>174.3</v>
      </c>
      <c r="F122" s="34">
        <v>44382</v>
      </c>
      <c r="G122" s="34"/>
    </row>
    <row r="123" spans="1:7" hidden="1" x14ac:dyDescent="0.25">
      <c r="A123" t="s">
        <v>275</v>
      </c>
      <c r="B123" s="2" t="s">
        <v>7</v>
      </c>
      <c r="C123" s="2">
        <v>10</v>
      </c>
      <c r="D123" s="2" t="s">
        <v>494</v>
      </c>
      <c r="E123" s="2">
        <v>211</v>
      </c>
      <c r="F123" s="34"/>
      <c r="G123" s="34"/>
    </row>
    <row r="124" spans="1:7" hidden="1" x14ac:dyDescent="0.25">
      <c r="A124" t="s">
        <v>276</v>
      </c>
      <c r="B124" s="2" t="s">
        <v>60</v>
      </c>
      <c r="C124" s="2">
        <v>0</v>
      </c>
      <c r="E124" s="2">
        <v>14</v>
      </c>
      <c r="F124" s="34"/>
      <c r="G124" s="34"/>
    </row>
    <row r="125" spans="1:7" hidden="1" x14ac:dyDescent="0.25">
      <c r="A125" t="s">
        <v>278</v>
      </c>
      <c r="B125" s="2" t="s">
        <v>12</v>
      </c>
      <c r="C125" s="2">
        <v>50</v>
      </c>
      <c r="D125" s="2" t="s">
        <v>399</v>
      </c>
      <c r="E125" s="2">
        <v>8</v>
      </c>
      <c r="F125" s="34">
        <v>44411</v>
      </c>
      <c r="G125" s="34"/>
    </row>
    <row r="126" spans="1:7" hidden="1" x14ac:dyDescent="0.25">
      <c r="A126" t="s">
        <v>280</v>
      </c>
      <c r="B126" s="2" t="s">
        <v>156</v>
      </c>
      <c r="C126" s="2">
        <v>10</v>
      </c>
      <c r="D126" s="2" t="s">
        <v>420</v>
      </c>
      <c r="E126" s="2">
        <v>86</v>
      </c>
      <c r="F126" s="34">
        <v>44411</v>
      </c>
      <c r="G126" s="34"/>
    </row>
    <row r="127" spans="1:7" x14ac:dyDescent="0.25">
      <c r="A127" t="s">
        <v>283</v>
      </c>
      <c r="B127" s="2" t="s">
        <v>149</v>
      </c>
      <c r="C127" s="2">
        <v>10</v>
      </c>
      <c r="E127" s="2">
        <v>105</v>
      </c>
      <c r="F127" s="34">
        <v>44411</v>
      </c>
      <c r="G127" s="34"/>
    </row>
    <row r="128" spans="1:7" hidden="1" x14ac:dyDescent="0.25">
      <c r="A128" t="s">
        <v>33</v>
      </c>
      <c r="B128" s="2" t="s">
        <v>30</v>
      </c>
      <c r="C128" s="2">
        <v>4</v>
      </c>
      <c r="E128" s="2">
        <v>1550</v>
      </c>
      <c r="F128" s="34">
        <v>44412</v>
      </c>
      <c r="G128" s="34"/>
    </row>
    <row r="129" spans="1:7" hidden="1" x14ac:dyDescent="0.25">
      <c r="A129" t="s">
        <v>286</v>
      </c>
      <c r="B129" s="2" t="s">
        <v>60</v>
      </c>
      <c r="C129" s="2">
        <v>10</v>
      </c>
      <c r="D129" s="2" t="s">
        <v>572</v>
      </c>
      <c r="E129" s="2">
        <v>13</v>
      </c>
      <c r="F129" s="34"/>
      <c r="G129" s="34">
        <v>44421</v>
      </c>
    </row>
    <row r="130" spans="1:7" hidden="1" x14ac:dyDescent="0.25">
      <c r="A130" t="s">
        <v>288</v>
      </c>
      <c r="B130" s="2" t="s">
        <v>11</v>
      </c>
      <c r="C130" s="2">
        <v>0</v>
      </c>
      <c r="E130" s="2">
        <v>3</v>
      </c>
      <c r="F130" s="34"/>
      <c r="G130" s="34">
        <v>44421</v>
      </c>
    </row>
    <row r="131" spans="1:7" hidden="1" x14ac:dyDescent="0.25">
      <c r="A131" t="s">
        <v>290</v>
      </c>
      <c r="B131" s="2" t="s">
        <v>75</v>
      </c>
      <c r="C131" s="2">
        <v>0</v>
      </c>
      <c r="E131" s="2">
        <v>46</v>
      </c>
      <c r="F131" s="34"/>
      <c r="G131" s="34">
        <v>44487</v>
      </c>
    </row>
    <row r="132" spans="1:7" hidden="1" x14ac:dyDescent="0.25">
      <c r="A132" t="s">
        <v>292</v>
      </c>
      <c r="B132" s="2" t="s">
        <v>11</v>
      </c>
      <c r="C132" s="2">
        <v>0</v>
      </c>
      <c r="E132" s="2">
        <v>3</v>
      </c>
      <c r="F132" s="34"/>
      <c r="G132" s="34">
        <v>44422</v>
      </c>
    </row>
    <row r="133" spans="1:7" hidden="1" x14ac:dyDescent="0.25">
      <c r="A133" t="s">
        <v>293</v>
      </c>
      <c r="B133" s="2" t="s">
        <v>11</v>
      </c>
      <c r="C133" s="2">
        <v>0</v>
      </c>
      <c r="E133" s="2">
        <v>3</v>
      </c>
      <c r="F133" s="34"/>
      <c r="G133" s="34">
        <v>44422</v>
      </c>
    </row>
    <row r="134" spans="1:7" hidden="1" x14ac:dyDescent="0.25">
      <c r="A134" t="s">
        <v>296</v>
      </c>
      <c r="B134" s="2" t="s">
        <v>11</v>
      </c>
      <c r="C134" s="2">
        <v>0</v>
      </c>
      <c r="E134" s="2">
        <v>3</v>
      </c>
      <c r="F134" s="34"/>
      <c r="G134" s="34">
        <v>44422</v>
      </c>
    </row>
    <row r="135" spans="1:7" hidden="1" x14ac:dyDescent="0.25">
      <c r="A135" t="s">
        <v>298</v>
      </c>
      <c r="B135" s="2" t="s">
        <v>12</v>
      </c>
      <c r="C135" s="2">
        <v>0</v>
      </c>
      <c r="E135" s="2">
        <v>3</v>
      </c>
      <c r="F135" s="34"/>
      <c r="G135" s="34">
        <v>44422</v>
      </c>
    </row>
    <row r="136" spans="1:7" hidden="1" x14ac:dyDescent="0.25">
      <c r="A136" t="s">
        <v>311</v>
      </c>
      <c r="B136" s="2" t="s">
        <v>12</v>
      </c>
      <c r="C136" s="2">
        <v>50</v>
      </c>
      <c r="D136" s="2" t="s">
        <v>555</v>
      </c>
      <c r="E136" s="2">
        <v>29</v>
      </c>
      <c r="F136" s="34">
        <v>44490</v>
      </c>
      <c r="G136" s="34">
        <v>44422</v>
      </c>
    </row>
    <row r="137" spans="1:7" hidden="1" x14ac:dyDescent="0.25">
      <c r="A137" t="s">
        <v>300</v>
      </c>
      <c r="B137" s="2" t="s">
        <v>11</v>
      </c>
      <c r="C137" s="2">
        <v>0</v>
      </c>
      <c r="E137" s="2">
        <v>3</v>
      </c>
      <c r="F137" s="34"/>
      <c r="G137" s="34">
        <v>44422</v>
      </c>
    </row>
    <row r="138" spans="1:7" hidden="1" x14ac:dyDescent="0.25">
      <c r="A138" t="s">
        <v>302</v>
      </c>
      <c r="B138" s="2" t="s">
        <v>11</v>
      </c>
      <c r="C138" s="2">
        <v>0</v>
      </c>
      <c r="E138" s="2">
        <v>3</v>
      </c>
      <c r="F138" s="34"/>
      <c r="G138" s="34">
        <v>44422</v>
      </c>
    </row>
    <row r="139" spans="1:7" hidden="1" x14ac:dyDescent="0.25">
      <c r="A139" t="s">
        <v>304</v>
      </c>
      <c r="B139" s="2" t="s">
        <v>12</v>
      </c>
      <c r="C139" s="2">
        <v>0</v>
      </c>
      <c r="E139" s="2">
        <v>3</v>
      </c>
      <c r="F139" s="34"/>
      <c r="G139" s="34">
        <v>44422</v>
      </c>
    </row>
    <row r="140" spans="1:7" hidden="1" x14ac:dyDescent="0.25">
      <c r="A140" t="s">
        <v>306</v>
      </c>
      <c r="B140" s="2" t="s">
        <v>11</v>
      </c>
      <c r="C140" s="2">
        <v>0</v>
      </c>
      <c r="E140" s="2">
        <v>3</v>
      </c>
      <c r="F140" s="34"/>
      <c r="G140" s="34">
        <v>44422</v>
      </c>
    </row>
    <row r="141" spans="1:7" hidden="1" x14ac:dyDescent="0.25">
      <c r="A141" t="s">
        <v>701</v>
      </c>
      <c r="B141" s="2" t="s">
        <v>7</v>
      </c>
      <c r="C141" s="2">
        <v>0</v>
      </c>
      <c r="D141" s="2" t="s">
        <v>496</v>
      </c>
      <c r="E141" s="2">
        <v>49</v>
      </c>
      <c r="F141" s="34"/>
      <c r="G141" s="34">
        <v>44487</v>
      </c>
    </row>
    <row r="142" spans="1:7" hidden="1" x14ac:dyDescent="0.25">
      <c r="A142" t="s">
        <v>308</v>
      </c>
      <c r="B142" s="2" t="s">
        <v>7</v>
      </c>
      <c r="C142" s="2">
        <v>10</v>
      </c>
      <c r="D142" s="2" t="s">
        <v>497</v>
      </c>
      <c r="E142" s="2">
        <v>56</v>
      </c>
      <c r="F142" s="34">
        <v>44481</v>
      </c>
      <c r="G142" s="34">
        <v>44422</v>
      </c>
    </row>
    <row r="143" spans="1:7" hidden="1" x14ac:dyDescent="0.25">
      <c r="A143" t="s">
        <v>309</v>
      </c>
      <c r="B143" s="2" t="s">
        <v>7</v>
      </c>
      <c r="C143" s="2">
        <v>0</v>
      </c>
      <c r="E143" s="2">
        <v>56</v>
      </c>
      <c r="F143" s="34"/>
      <c r="G143" s="34">
        <v>44422</v>
      </c>
    </row>
    <row r="144" spans="1:7" hidden="1" x14ac:dyDescent="0.25">
      <c r="A144" t="s">
        <v>310</v>
      </c>
      <c r="B144" s="2" t="s">
        <v>7</v>
      </c>
      <c r="C144" s="2">
        <v>0</v>
      </c>
      <c r="E144" s="2">
        <v>55</v>
      </c>
      <c r="F144" s="34"/>
      <c r="G144" s="34">
        <v>44422</v>
      </c>
    </row>
    <row r="145" spans="1:7" hidden="1" x14ac:dyDescent="0.25">
      <c r="A145" t="s">
        <v>316</v>
      </c>
      <c r="B145" s="2" t="s">
        <v>11</v>
      </c>
      <c r="C145" s="2">
        <v>10</v>
      </c>
      <c r="D145" s="2" t="s">
        <v>556</v>
      </c>
      <c r="E145" s="2">
        <v>24</v>
      </c>
      <c r="F145" s="34">
        <v>44490</v>
      </c>
      <c r="G145" s="34">
        <v>44422</v>
      </c>
    </row>
    <row r="146" spans="1:7" hidden="1" x14ac:dyDescent="0.25">
      <c r="A146" t="s">
        <v>317</v>
      </c>
      <c r="B146" s="2" t="s">
        <v>11</v>
      </c>
      <c r="C146" s="2">
        <v>0</v>
      </c>
      <c r="E146" s="2">
        <v>24</v>
      </c>
      <c r="F146" s="34"/>
      <c r="G146" s="34">
        <v>44422</v>
      </c>
    </row>
    <row r="147" spans="1:7" hidden="1" x14ac:dyDescent="0.25">
      <c r="A147" t="s">
        <v>318</v>
      </c>
      <c r="B147" s="2" t="s">
        <v>11</v>
      </c>
      <c r="C147" s="2">
        <v>0</v>
      </c>
      <c r="E147" s="2">
        <v>24</v>
      </c>
      <c r="F147" s="34"/>
      <c r="G147" s="34">
        <v>44422</v>
      </c>
    </row>
    <row r="148" spans="1:7" hidden="1" x14ac:dyDescent="0.25">
      <c r="A148" t="s">
        <v>319</v>
      </c>
      <c r="B148" s="2" t="s">
        <v>11</v>
      </c>
      <c r="C148" s="2">
        <v>0</v>
      </c>
      <c r="E148" s="2">
        <v>24</v>
      </c>
      <c r="F148" s="34"/>
      <c r="G148" s="34">
        <v>44422</v>
      </c>
    </row>
    <row r="149" spans="1:7" hidden="1" x14ac:dyDescent="0.25">
      <c r="A149" t="s">
        <v>374</v>
      </c>
      <c r="B149" s="2" t="s">
        <v>88</v>
      </c>
      <c r="C149" s="2">
        <v>25</v>
      </c>
      <c r="D149" s="2" t="s">
        <v>549</v>
      </c>
      <c r="E149" s="2">
        <v>27</v>
      </c>
      <c r="F149" s="34">
        <v>44430</v>
      </c>
      <c r="G149" s="34"/>
    </row>
    <row r="150" spans="1:7" hidden="1" x14ac:dyDescent="0.25">
      <c r="A150" t="s">
        <v>325</v>
      </c>
      <c r="B150" s="2" t="s">
        <v>60</v>
      </c>
      <c r="C150" s="2">
        <v>10</v>
      </c>
      <c r="D150" s="2" t="s">
        <v>455</v>
      </c>
      <c r="E150" s="2">
        <v>9</v>
      </c>
      <c r="F150" s="34"/>
      <c r="G150" s="34">
        <v>44432</v>
      </c>
    </row>
    <row r="151" spans="1:7" hidden="1" x14ac:dyDescent="0.25">
      <c r="A151" t="s">
        <v>327</v>
      </c>
      <c r="B151" s="2" t="s">
        <v>60</v>
      </c>
      <c r="C151" s="2">
        <v>10</v>
      </c>
      <c r="D151" s="2" t="s">
        <v>454</v>
      </c>
      <c r="E151" s="2">
        <v>8</v>
      </c>
      <c r="F151" s="34"/>
      <c r="G151" s="34">
        <v>44432</v>
      </c>
    </row>
    <row r="152" spans="1:7" hidden="1" x14ac:dyDescent="0.25">
      <c r="A152" t="s">
        <v>329</v>
      </c>
      <c r="B152" s="2" t="s">
        <v>330</v>
      </c>
      <c r="C152" s="2">
        <v>0</v>
      </c>
      <c r="E152" s="2">
        <v>15</v>
      </c>
      <c r="F152" s="34"/>
      <c r="G152" s="34">
        <v>44432</v>
      </c>
    </row>
    <row r="153" spans="1:7" hidden="1" x14ac:dyDescent="0.25">
      <c r="A153" t="s">
        <v>333</v>
      </c>
      <c r="B153" s="2" t="s">
        <v>88</v>
      </c>
      <c r="C153" s="2">
        <v>0</v>
      </c>
      <c r="E153" s="2">
        <v>28</v>
      </c>
      <c r="F153" s="34"/>
      <c r="G153" s="34">
        <v>44432</v>
      </c>
    </row>
    <row r="154" spans="1:7" hidden="1" x14ac:dyDescent="0.25">
      <c r="A154" t="s">
        <v>335</v>
      </c>
      <c r="B154" s="2" t="s">
        <v>5</v>
      </c>
      <c r="C154" s="2">
        <v>0</v>
      </c>
      <c r="E154" s="2">
        <v>157.94999999999999</v>
      </c>
      <c r="F154" s="34"/>
      <c r="G154" s="34">
        <v>44487</v>
      </c>
    </row>
    <row r="155" spans="1:7" hidden="1" x14ac:dyDescent="0.25">
      <c r="A155" t="s">
        <v>336</v>
      </c>
      <c r="B155" s="2" t="s">
        <v>13</v>
      </c>
      <c r="C155" s="2">
        <v>0</v>
      </c>
      <c r="E155" s="2">
        <v>52</v>
      </c>
      <c r="F155" s="34"/>
      <c r="G155" s="34">
        <v>44432</v>
      </c>
    </row>
    <row r="156" spans="1:7" hidden="1" x14ac:dyDescent="0.25">
      <c r="A156" t="s">
        <v>337</v>
      </c>
      <c r="B156" s="2" t="s">
        <v>13</v>
      </c>
      <c r="C156" s="2">
        <v>0</v>
      </c>
      <c r="E156" s="2">
        <v>52</v>
      </c>
      <c r="F156" s="34"/>
      <c r="G156" s="34">
        <v>44432</v>
      </c>
    </row>
    <row r="157" spans="1:7" hidden="1" x14ac:dyDescent="0.25">
      <c r="A157" t="s">
        <v>338</v>
      </c>
      <c r="B157" s="2" t="s">
        <v>13</v>
      </c>
      <c r="C157" s="2">
        <v>0</v>
      </c>
      <c r="E157" s="2">
        <v>52</v>
      </c>
      <c r="F157" s="34"/>
      <c r="G157" s="34">
        <v>44432</v>
      </c>
    </row>
    <row r="158" spans="1:7" hidden="1" x14ac:dyDescent="0.25">
      <c r="A158" t="s">
        <v>344</v>
      </c>
      <c r="B158" s="2" t="s">
        <v>12</v>
      </c>
      <c r="C158" s="2">
        <v>0</v>
      </c>
      <c r="E158" s="2">
        <v>3</v>
      </c>
      <c r="F158" s="34"/>
      <c r="G158" s="34">
        <v>44432</v>
      </c>
    </row>
    <row r="159" spans="1:7" hidden="1" x14ac:dyDescent="0.25">
      <c r="A159" t="s">
        <v>346</v>
      </c>
      <c r="B159" s="2" t="s">
        <v>12</v>
      </c>
      <c r="C159" s="2">
        <v>0</v>
      </c>
      <c r="E159" s="2">
        <v>5</v>
      </c>
      <c r="F159" s="34"/>
      <c r="G159" s="34">
        <v>44432</v>
      </c>
    </row>
    <row r="160" spans="1:7" hidden="1" x14ac:dyDescent="0.25">
      <c r="A160" t="s">
        <v>347</v>
      </c>
      <c r="B160" s="2" t="s">
        <v>12</v>
      </c>
      <c r="C160" s="2">
        <v>0</v>
      </c>
      <c r="E160" s="2">
        <v>3</v>
      </c>
      <c r="F160" s="34"/>
      <c r="G160" s="34">
        <v>44432</v>
      </c>
    </row>
    <row r="161" spans="1:7" hidden="1" x14ac:dyDescent="0.25">
      <c r="A161" t="s">
        <v>350</v>
      </c>
      <c r="B161" s="2" t="s">
        <v>12</v>
      </c>
      <c r="C161" s="2">
        <v>0</v>
      </c>
      <c r="E161" s="2">
        <v>3</v>
      </c>
      <c r="F161" s="34"/>
      <c r="G161" s="34">
        <v>44432</v>
      </c>
    </row>
    <row r="162" spans="1:7" hidden="1" x14ac:dyDescent="0.25">
      <c r="A162" t="s">
        <v>352</v>
      </c>
      <c r="B162" s="2" t="s">
        <v>12</v>
      </c>
      <c r="C162" s="2">
        <v>0</v>
      </c>
      <c r="E162" s="2">
        <v>3</v>
      </c>
      <c r="F162" s="34"/>
      <c r="G162" s="34">
        <v>44432</v>
      </c>
    </row>
    <row r="163" spans="1:7" hidden="1" x14ac:dyDescent="0.25">
      <c r="A163" t="s">
        <v>354</v>
      </c>
      <c r="B163" s="2" t="s">
        <v>12</v>
      </c>
      <c r="C163" s="2">
        <v>0</v>
      </c>
      <c r="E163" s="2">
        <v>96</v>
      </c>
      <c r="F163" s="34"/>
      <c r="G163" s="34">
        <v>44432</v>
      </c>
    </row>
    <row r="164" spans="1:7" hidden="1" x14ac:dyDescent="0.25">
      <c r="A164" t="s">
        <v>355</v>
      </c>
      <c r="B164" s="2" t="s">
        <v>12</v>
      </c>
      <c r="C164" s="2">
        <v>0</v>
      </c>
      <c r="E164" s="2">
        <v>90</v>
      </c>
      <c r="F164" s="34"/>
      <c r="G164" s="34">
        <v>44432</v>
      </c>
    </row>
    <row r="165" spans="1:7" hidden="1" x14ac:dyDescent="0.25">
      <c r="A165" t="s">
        <v>584</v>
      </c>
      <c r="B165" s="2" t="s">
        <v>12</v>
      </c>
      <c r="C165" s="2">
        <v>0</v>
      </c>
      <c r="E165" s="2">
        <v>35</v>
      </c>
      <c r="F165" s="34"/>
      <c r="G165" s="34">
        <v>44432</v>
      </c>
    </row>
    <row r="166" spans="1:7" hidden="1" x14ac:dyDescent="0.25">
      <c r="A166" t="s">
        <v>358</v>
      </c>
      <c r="B166" s="2" t="s">
        <v>11</v>
      </c>
      <c r="C166" s="2">
        <v>0</v>
      </c>
      <c r="E166" s="2">
        <v>3</v>
      </c>
      <c r="F166" s="34"/>
      <c r="G166" s="34">
        <v>44432</v>
      </c>
    </row>
    <row r="167" spans="1:7" hidden="1" x14ac:dyDescent="0.25">
      <c r="A167" t="s">
        <v>360</v>
      </c>
      <c r="B167" s="2" t="s">
        <v>11</v>
      </c>
      <c r="C167" s="2">
        <v>0</v>
      </c>
      <c r="E167" s="2">
        <v>3</v>
      </c>
      <c r="F167" s="34"/>
      <c r="G167" s="34">
        <v>44432</v>
      </c>
    </row>
    <row r="168" spans="1:7" hidden="1" x14ac:dyDescent="0.25">
      <c r="A168" t="s">
        <v>361</v>
      </c>
      <c r="B168" s="2" t="s">
        <v>11</v>
      </c>
      <c r="C168" s="2">
        <v>0</v>
      </c>
      <c r="E168" s="2">
        <v>3</v>
      </c>
      <c r="F168" s="34"/>
      <c r="G168" s="34">
        <v>44432</v>
      </c>
    </row>
    <row r="169" spans="1:7" hidden="1" x14ac:dyDescent="0.25">
      <c r="A169" t="s">
        <v>364</v>
      </c>
      <c r="B169" s="2" t="s">
        <v>11</v>
      </c>
      <c r="C169" s="2">
        <v>0</v>
      </c>
      <c r="E169" s="2">
        <v>3</v>
      </c>
      <c r="F169" s="34"/>
      <c r="G169" s="34">
        <v>44432</v>
      </c>
    </row>
    <row r="170" spans="1:7" hidden="1" x14ac:dyDescent="0.25">
      <c r="A170" t="s">
        <v>367</v>
      </c>
      <c r="B170" s="2" t="s">
        <v>88</v>
      </c>
      <c r="C170" s="2">
        <v>0</v>
      </c>
      <c r="E170" s="2">
        <v>16</v>
      </c>
      <c r="F170" s="34"/>
      <c r="G170" s="34">
        <v>44433</v>
      </c>
    </row>
    <row r="171" spans="1:7" hidden="1" x14ac:dyDescent="0.25">
      <c r="A171" t="s">
        <v>369</v>
      </c>
      <c r="B171" s="2" t="s">
        <v>88</v>
      </c>
      <c r="C171" s="2">
        <v>0</v>
      </c>
      <c r="E171" s="2">
        <v>36</v>
      </c>
      <c r="F171" s="34"/>
      <c r="G171" s="34">
        <v>44433</v>
      </c>
    </row>
    <row r="172" spans="1:7" hidden="1" x14ac:dyDescent="0.25">
      <c r="A172" t="s">
        <v>371</v>
      </c>
      <c r="B172" s="2" t="s">
        <v>49</v>
      </c>
      <c r="C172" s="2">
        <v>20</v>
      </c>
      <c r="D172" s="2" t="s">
        <v>450</v>
      </c>
      <c r="E172" s="2">
        <v>34</v>
      </c>
      <c r="F172" s="34"/>
      <c r="G172" s="34" t="s">
        <v>372</v>
      </c>
    </row>
    <row r="173" spans="1:7" hidden="1" x14ac:dyDescent="0.25">
      <c r="A173" t="s">
        <v>376</v>
      </c>
      <c r="B173" s="2" t="s">
        <v>11</v>
      </c>
      <c r="C173" s="2">
        <v>0</v>
      </c>
      <c r="E173" s="2">
        <v>3</v>
      </c>
      <c r="F173" s="34"/>
      <c r="G173" s="34">
        <v>44437</v>
      </c>
    </row>
    <row r="174" spans="1:7" hidden="1" x14ac:dyDescent="0.25">
      <c r="A174" t="s">
        <v>377</v>
      </c>
      <c r="B174" s="2" t="s">
        <v>11</v>
      </c>
      <c r="C174" s="2">
        <v>0</v>
      </c>
      <c r="E174" s="2">
        <v>18</v>
      </c>
      <c r="F174" s="34"/>
      <c r="G174" s="34">
        <v>44437</v>
      </c>
    </row>
    <row r="175" spans="1:7" hidden="1" x14ac:dyDescent="0.25">
      <c r="A175" t="s">
        <v>383</v>
      </c>
      <c r="B175" s="2" t="s">
        <v>7</v>
      </c>
      <c r="C175" s="2">
        <v>20</v>
      </c>
      <c r="D175" s="2" t="s">
        <v>490</v>
      </c>
      <c r="E175" s="2">
        <v>226</v>
      </c>
      <c r="F175" s="34"/>
      <c r="G175" s="34">
        <v>44438</v>
      </c>
    </row>
    <row r="176" spans="1:7" hidden="1" x14ac:dyDescent="0.25">
      <c r="A176" t="s">
        <v>385</v>
      </c>
      <c r="B176" s="2" t="s">
        <v>11</v>
      </c>
      <c r="C176" s="2">
        <v>0</v>
      </c>
      <c r="E176" s="2">
        <v>5</v>
      </c>
      <c r="F176" s="34"/>
      <c r="G176" s="34">
        <v>44438</v>
      </c>
    </row>
    <row r="177" spans="1:7" hidden="1" x14ac:dyDescent="0.25">
      <c r="A177" t="s">
        <v>387</v>
      </c>
      <c r="B177" s="2" t="s">
        <v>168</v>
      </c>
      <c r="C177" s="2">
        <v>2</v>
      </c>
      <c r="D177" s="2" t="s">
        <v>394</v>
      </c>
      <c r="E177" s="2">
        <v>1458</v>
      </c>
      <c r="F177" s="34">
        <v>44439</v>
      </c>
      <c r="G177" s="34"/>
    </row>
    <row r="178" spans="1:7" hidden="1" x14ac:dyDescent="0.25">
      <c r="A178" t="s">
        <v>389</v>
      </c>
      <c r="B178" s="2" t="s">
        <v>173</v>
      </c>
      <c r="C178" s="2">
        <v>12</v>
      </c>
      <c r="D178" s="2" t="s">
        <v>395</v>
      </c>
      <c r="E178" s="2">
        <v>528</v>
      </c>
      <c r="F178" s="34">
        <v>44439</v>
      </c>
      <c r="G178" s="34"/>
    </row>
    <row r="179" spans="1:7" hidden="1" x14ac:dyDescent="0.25">
      <c r="A179" t="s">
        <v>390</v>
      </c>
      <c r="B179" s="2" t="s">
        <v>173</v>
      </c>
      <c r="C179" s="2">
        <v>13</v>
      </c>
      <c r="D179" s="2" t="s">
        <v>396</v>
      </c>
      <c r="E179" s="2">
        <v>226</v>
      </c>
      <c r="F179" s="34">
        <v>44439</v>
      </c>
      <c r="G179" s="34"/>
    </row>
    <row r="180" spans="1:7" hidden="1" x14ac:dyDescent="0.25">
      <c r="A180" t="s">
        <v>392</v>
      </c>
      <c r="B180" s="2" t="s">
        <v>173</v>
      </c>
      <c r="C180" s="2">
        <v>0</v>
      </c>
      <c r="E180" s="2">
        <v>52.97</v>
      </c>
      <c r="F180" s="34"/>
      <c r="G180" s="34">
        <v>44440</v>
      </c>
    </row>
    <row r="181" spans="1:7" hidden="1" x14ac:dyDescent="0.25">
      <c r="A181" t="s">
        <v>594</v>
      </c>
      <c r="B181" s="2" t="s">
        <v>12</v>
      </c>
      <c r="C181" s="2">
        <v>4</v>
      </c>
      <c r="D181" s="2" t="s">
        <v>397</v>
      </c>
      <c r="E181" s="2">
        <v>132</v>
      </c>
      <c r="F181" s="34">
        <v>44440</v>
      </c>
      <c r="G181" s="34"/>
    </row>
    <row r="182" spans="1:7" hidden="1" x14ac:dyDescent="0.25">
      <c r="A182" t="s">
        <v>423</v>
      </c>
      <c r="B182" s="2" t="s">
        <v>221</v>
      </c>
      <c r="C182" s="2">
        <v>2</v>
      </c>
      <c r="D182" s="2" t="s">
        <v>451</v>
      </c>
      <c r="E182" s="2">
        <v>40</v>
      </c>
      <c r="F182" s="34"/>
      <c r="G182" s="34">
        <v>44440</v>
      </c>
    </row>
    <row r="183" spans="1:7" hidden="1" x14ac:dyDescent="0.25">
      <c r="A183" t="s">
        <v>428</v>
      </c>
      <c r="B183" s="2" t="s">
        <v>11</v>
      </c>
      <c r="C183" s="2">
        <v>0</v>
      </c>
      <c r="E183" s="2">
        <v>3</v>
      </c>
      <c r="F183" s="34"/>
      <c r="G183" s="34">
        <v>44441</v>
      </c>
    </row>
    <row r="184" spans="1:7" hidden="1" x14ac:dyDescent="0.25">
      <c r="A184" t="s">
        <v>431</v>
      </c>
      <c r="B184" s="2" t="s">
        <v>173</v>
      </c>
      <c r="C184" s="2">
        <v>0</v>
      </c>
      <c r="E184" s="2">
        <v>132</v>
      </c>
      <c r="F184" s="34"/>
      <c r="G184" s="34">
        <v>44442</v>
      </c>
    </row>
    <row r="185" spans="1:7" hidden="1" x14ac:dyDescent="0.25">
      <c r="A185" t="s">
        <v>430</v>
      </c>
      <c r="B185" s="2" t="s">
        <v>173</v>
      </c>
      <c r="C185" s="2">
        <v>10</v>
      </c>
      <c r="D185" s="2" t="s">
        <v>395</v>
      </c>
      <c r="E185" s="2">
        <v>180.5</v>
      </c>
      <c r="F185" s="34">
        <v>44669</v>
      </c>
      <c r="G185" s="34">
        <v>44442</v>
      </c>
    </row>
    <row r="186" spans="1:7" hidden="1" x14ac:dyDescent="0.25">
      <c r="A186" t="s">
        <v>432</v>
      </c>
      <c r="B186" s="2" t="s">
        <v>173</v>
      </c>
      <c r="C186" s="2">
        <v>0</v>
      </c>
      <c r="E186" s="2">
        <v>214</v>
      </c>
      <c r="F186" s="34"/>
      <c r="G186" s="34">
        <v>44442</v>
      </c>
    </row>
    <row r="187" spans="1:7" hidden="1" x14ac:dyDescent="0.25">
      <c r="A187" t="s">
        <v>437</v>
      </c>
      <c r="B187" s="2" t="s">
        <v>7</v>
      </c>
      <c r="C187" s="2">
        <v>10</v>
      </c>
      <c r="D187" s="2" t="s">
        <v>491</v>
      </c>
      <c r="E187" s="2">
        <v>27</v>
      </c>
      <c r="G187" s="34">
        <v>44442</v>
      </c>
    </row>
    <row r="188" spans="1:7" hidden="1" x14ac:dyDescent="0.25">
      <c r="A188" t="s">
        <v>439</v>
      </c>
      <c r="B188" s="2" t="s">
        <v>50</v>
      </c>
      <c r="C188" s="2">
        <v>10</v>
      </c>
      <c r="D188" s="2" t="s">
        <v>453</v>
      </c>
      <c r="E188" s="2">
        <v>112</v>
      </c>
      <c r="F188" s="3">
        <v>44445</v>
      </c>
    </row>
    <row r="189" spans="1:7" hidden="1" x14ac:dyDescent="0.25">
      <c r="A189" t="s">
        <v>440</v>
      </c>
      <c r="B189" s="2" t="s">
        <v>50</v>
      </c>
      <c r="C189" s="2">
        <v>0</v>
      </c>
      <c r="E189" s="2">
        <v>153</v>
      </c>
      <c r="F189" s="3">
        <v>44445</v>
      </c>
    </row>
    <row r="190" spans="1:7" hidden="1" x14ac:dyDescent="0.25">
      <c r="A190" t="s">
        <v>442</v>
      </c>
      <c r="B190" s="2" t="s">
        <v>7</v>
      </c>
      <c r="C190" s="2">
        <v>10</v>
      </c>
      <c r="D190" s="2" t="s">
        <v>495</v>
      </c>
      <c r="E190" s="2">
        <v>27</v>
      </c>
      <c r="G190" s="34">
        <v>44445</v>
      </c>
    </row>
    <row r="191" spans="1:7" hidden="1" x14ac:dyDescent="0.25">
      <c r="A191" t="s">
        <v>443</v>
      </c>
      <c r="B191" s="2" t="s">
        <v>50</v>
      </c>
      <c r="C191" s="2">
        <v>10</v>
      </c>
      <c r="D191" s="2" t="s">
        <v>447</v>
      </c>
      <c r="E191" s="2">
        <v>47.7</v>
      </c>
      <c r="F191" s="3">
        <v>44449</v>
      </c>
    </row>
    <row r="192" spans="1:7" hidden="1" x14ac:dyDescent="0.25">
      <c r="A192" t="s">
        <v>445</v>
      </c>
      <c r="B192" s="2" t="s">
        <v>11</v>
      </c>
      <c r="C192" s="2">
        <v>0</v>
      </c>
      <c r="E192" s="2">
        <v>15</v>
      </c>
      <c r="G192" s="34">
        <v>44445</v>
      </c>
    </row>
    <row r="193" spans="1:7" hidden="1" x14ac:dyDescent="0.25">
      <c r="A193" t="s">
        <v>457</v>
      </c>
      <c r="B193" s="2" t="s">
        <v>11</v>
      </c>
      <c r="C193" s="2">
        <v>25</v>
      </c>
      <c r="D193" s="2" t="s">
        <v>557</v>
      </c>
      <c r="E193" s="2">
        <v>18</v>
      </c>
      <c r="F193" s="3">
        <v>44490</v>
      </c>
      <c r="G193" s="34">
        <v>44453</v>
      </c>
    </row>
    <row r="194" spans="1:7" hidden="1" x14ac:dyDescent="0.25">
      <c r="A194" t="s">
        <v>459</v>
      </c>
      <c r="B194" s="2" t="s">
        <v>7</v>
      </c>
      <c r="C194" s="2">
        <v>10</v>
      </c>
      <c r="D194" s="2" t="s">
        <v>496</v>
      </c>
      <c r="E194" s="2">
        <v>46</v>
      </c>
      <c r="F194" s="3">
        <v>44481</v>
      </c>
      <c r="G194" s="34">
        <v>44454</v>
      </c>
    </row>
    <row r="195" spans="1:7" hidden="1" x14ac:dyDescent="0.25">
      <c r="A195" t="s">
        <v>470</v>
      </c>
      <c r="B195" s="2" t="s">
        <v>50</v>
      </c>
      <c r="C195" s="2">
        <v>5</v>
      </c>
      <c r="D195" s="2" t="s">
        <v>492</v>
      </c>
      <c r="E195" s="2">
        <v>314</v>
      </c>
      <c r="F195" s="3">
        <v>44460</v>
      </c>
    </row>
    <row r="196" spans="1:7" hidden="1" x14ac:dyDescent="0.25">
      <c r="A196" t="s">
        <v>474</v>
      </c>
      <c r="B196" s="2" t="s">
        <v>88</v>
      </c>
      <c r="C196" s="2">
        <v>0</v>
      </c>
      <c r="E196" s="2">
        <v>69</v>
      </c>
      <c r="G196" s="34">
        <v>44461</v>
      </c>
    </row>
    <row r="197" spans="1:7" hidden="1" x14ac:dyDescent="0.25">
      <c r="A197" t="s">
        <v>475</v>
      </c>
      <c r="B197" s="2" t="s">
        <v>88</v>
      </c>
      <c r="C197" s="2">
        <v>0</v>
      </c>
      <c r="E197" s="2">
        <v>172</v>
      </c>
      <c r="G197" s="34">
        <v>44461</v>
      </c>
    </row>
    <row r="198" spans="1:7" hidden="1" x14ac:dyDescent="0.25">
      <c r="A198" t="s">
        <v>477</v>
      </c>
      <c r="B198" s="2" t="s">
        <v>88</v>
      </c>
      <c r="C198" s="2">
        <v>0</v>
      </c>
      <c r="E198" s="2">
        <v>21</v>
      </c>
      <c r="G198" s="34">
        <v>44461</v>
      </c>
    </row>
    <row r="199" spans="1:7" hidden="1" x14ac:dyDescent="0.25">
      <c r="A199" t="s">
        <v>479</v>
      </c>
      <c r="B199" s="2" t="s">
        <v>11</v>
      </c>
      <c r="C199" s="2">
        <v>100</v>
      </c>
      <c r="D199" s="2" t="s">
        <v>575</v>
      </c>
      <c r="E199" s="2">
        <v>3</v>
      </c>
      <c r="G199" s="34">
        <v>44461</v>
      </c>
    </row>
    <row r="200" spans="1:7" hidden="1" x14ac:dyDescent="0.25">
      <c r="A200" t="s">
        <v>480</v>
      </c>
      <c r="B200" s="2" t="s">
        <v>11</v>
      </c>
      <c r="C200" s="2">
        <v>100</v>
      </c>
      <c r="D200" s="2" t="s">
        <v>575</v>
      </c>
      <c r="E200" s="2">
        <v>3</v>
      </c>
      <c r="G200" s="34">
        <v>44461</v>
      </c>
    </row>
    <row r="201" spans="1:7" hidden="1" x14ac:dyDescent="0.25">
      <c r="A201" t="s">
        <v>483</v>
      </c>
      <c r="B201" s="2" t="s">
        <v>88</v>
      </c>
      <c r="C201" s="2">
        <v>0</v>
      </c>
      <c r="E201" s="2">
        <v>23</v>
      </c>
      <c r="G201" s="34">
        <v>44461</v>
      </c>
    </row>
    <row r="202" spans="1:7" x14ac:dyDescent="0.25">
      <c r="A202" t="s">
        <v>485</v>
      </c>
      <c r="B202" s="2" t="s">
        <v>149</v>
      </c>
      <c r="C202" s="2">
        <v>10</v>
      </c>
      <c r="E202" s="2">
        <v>2950</v>
      </c>
      <c r="G202" s="34">
        <v>44468</v>
      </c>
    </row>
    <row r="203" spans="1:7" x14ac:dyDescent="0.25">
      <c r="A203" t="s">
        <v>486</v>
      </c>
      <c r="B203" s="2" t="s">
        <v>149</v>
      </c>
      <c r="C203" s="2">
        <v>10</v>
      </c>
      <c r="E203" s="2">
        <v>2500</v>
      </c>
      <c r="G203" s="34">
        <v>44468</v>
      </c>
    </row>
    <row r="204" spans="1:7" hidden="1" x14ac:dyDescent="0.25">
      <c r="A204" t="s">
        <v>170</v>
      </c>
      <c r="B204" s="2" t="s">
        <v>10</v>
      </c>
      <c r="C204" s="2">
        <v>10</v>
      </c>
      <c r="D204" s="2" t="s">
        <v>489</v>
      </c>
      <c r="E204" s="2">
        <v>790</v>
      </c>
      <c r="F204" s="3">
        <v>44481</v>
      </c>
    </row>
    <row r="205" spans="1:7" hidden="1" x14ac:dyDescent="0.25">
      <c r="A205" t="s">
        <v>66</v>
      </c>
      <c r="B205" s="2" t="s">
        <v>13</v>
      </c>
      <c r="C205" s="2">
        <v>0</v>
      </c>
    </row>
    <row r="206" spans="1:7" hidden="1" x14ac:dyDescent="0.25">
      <c r="A206" t="s">
        <v>504</v>
      </c>
      <c r="B206" s="2" t="s">
        <v>7</v>
      </c>
      <c r="C206" s="2">
        <v>0</v>
      </c>
      <c r="E206" s="2">
        <v>20.399999999999999</v>
      </c>
      <c r="G206" s="34">
        <v>44487</v>
      </c>
    </row>
    <row r="207" spans="1:7" hidden="1" x14ac:dyDescent="0.25">
      <c r="A207" t="s">
        <v>506</v>
      </c>
      <c r="B207" s="2" t="s">
        <v>507</v>
      </c>
      <c r="C207" s="2">
        <v>0</v>
      </c>
      <c r="E207" s="2">
        <v>82.2</v>
      </c>
      <c r="G207" s="34">
        <v>44487</v>
      </c>
    </row>
    <row r="208" spans="1:7" hidden="1" x14ac:dyDescent="0.25">
      <c r="A208" t="s">
        <v>509</v>
      </c>
      <c r="B208" s="2" t="s">
        <v>60</v>
      </c>
      <c r="C208" s="2">
        <v>0</v>
      </c>
      <c r="E208" s="2">
        <v>9</v>
      </c>
      <c r="G208" s="34">
        <v>44487</v>
      </c>
    </row>
    <row r="209" spans="1:7" hidden="1" x14ac:dyDescent="0.25">
      <c r="A209" t="s">
        <v>511</v>
      </c>
      <c r="B209" s="2" t="s">
        <v>60</v>
      </c>
      <c r="C209" s="2">
        <v>0</v>
      </c>
      <c r="E209" s="2">
        <v>19.8</v>
      </c>
      <c r="G209" s="34">
        <v>44487</v>
      </c>
    </row>
    <row r="210" spans="1:7" hidden="1" x14ac:dyDescent="0.25">
      <c r="A210" t="s">
        <v>513</v>
      </c>
      <c r="B210" s="2" t="s">
        <v>514</v>
      </c>
      <c r="C210" s="2">
        <v>0</v>
      </c>
      <c r="E210" s="2">
        <v>144</v>
      </c>
      <c r="G210" s="34">
        <v>44487</v>
      </c>
    </row>
    <row r="211" spans="1:7" hidden="1" x14ac:dyDescent="0.25">
      <c r="A211" t="s">
        <v>515</v>
      </c>
      <c r="B211" s="2" t="s">
        <v>221</v>
      </c>
      <c r="C211" s="2">
        <v>0</v>
      </c>
      <c r="E211" s="2">
        <v>15.3</v>
      </c>
      <c r="G211" s="34">
        <v>44487</v>
      </c>
    </row>
    <row r="212" spans="1:7" hidden="1" x14ac:dyDescent="0.25">
      <c r="A212" t="s">
        <v>518</v>
      </c>
      <c r="B212" s="2" t="s">
        <v>13</v>
      </c>
      <c r="C212" s="2">
        <v>0</v>
      </c>
      <c r="E212" s="2">
        <v>4.4000000000000004</v>
      </c>
      <c r="G212" s="34">
        <v>44487</v>
      </c>
    </row>
    <row r="213" spans="1:7" hidden="1" x14ac:dyDescent="0.25">
      <c r="A213" t="s">
        <v>520</v>
      </c>
      <c r="B213" s="2" t="s">
        <v>13</v>
      </c>
      <c r="C213" s="2">
        <v>0</v>
      </c>
      <c r="E213" s="2">
        <v>41</v>
      </c>
      <c r="G213" s="34">
        <v>44487</v>
      </c>
    </row>
    <row r="214" spans="1:7" hidden="1" x14ac:dyDescent="0.25">
      <c r="A214" t="s">
        <v>523</v>
      </c>
      <c r="B214" s="2" t="s">
        <v>13</v>
      </c>
      <c r="C214" s="2">
        <v>0</v>
      </c>
      <c r="E214" s="2">
        <v>113</v>
      </c>
      <c r="G214" s="34">
        <v>44487</v>
      </c>
    </row>
    <row r="215" spans="1:7" hidden="1" x14ac:dyDescent="0.25">
      <c r="A215" t="s">
        <v>524</v>
      </c>
      <c r="B215" s="2" t="s">
        <v>13</v>
      </c>
      <c r="C215" s="2">
        <v>0</v>
      </c>
      <c r="E215" s="2">
        <v>83</v>
      </c>
      <c r="G215" s="34">
        <v>44487</v>
      </c>
    </row>
    <row r="216" spans="1:7" hidden="1" x14ac:dyDescent="0.25">
      <c r="A216" t="s">
        <v>526</v>
      </c>
      <c r="B216" s="2" t="s">
        <v>88</v>
      </c>
      <c r="C216" s="2">
        <v>0</v>
      </c>
      <c r="E216" s="2">
        <v>50.8</v>
      </c>
      <c r="G216" s="34">
        <v>44487</v>
      </c>
    </row>
    <row r="217" spans="1:7" hidden="1" x14ac:dyDescent="0.25">
      <c r="A217" t="s">
        <v>528</v>
      </c>
      <c r="B217" s="2" t="s">
        <v>37</v>
      </c>
      <c r="C217" s="2">
        <v>0</v>
      </c>
      <c r="E217" s="2">
        <v>139.30000000000001</v>
      </c>
      <c r="G217" s="3">
        <v>44487</v>
      </c>
    </row>
    <row r="218" spans="1:7" hidden="1" x14ac:dyDescent="0.25">
      <c r="A218" t="s">
        <v>530</v>
      </c>
      <c r="B218" s="2" t="s">
        <v>514</v>
      </c>
      <c r="C218" s="2">
        <v>0</v>
      </c>
      <c r="E218" s="2">
        <v>11.9</v>
      </c>
      <c r="G218" s="34">
        <v>44488</v>
      </c>
    </row>
    <row r="219" spans="1:7" hidden="1" x14ac:dyDescent="0.25">
      <c r="A219" t="s">
        <v>537</v>
      </c>
      <c r="B219" s="2" t="s">
        <v>535</v>
      </c>
      <c r="C219" s="2">
        <v>0</v>
      </c>
      <c r="E219" s="2">
        <v>356</v>
      </c>
      <c r="G219" s="34">
        <v>44488</v>
      </c>
    </row>
    <row r="220" spans="1:7" hidden="1" x14ac:dyDescent="0.25">
      <c r="A220" t="s">
        <v>539</v>
      </c>
      <c r="B220" s="2" t="s">
        <v>221</v>
      </c>
      <c r="C220" s="2">
        <v>0</v>
      </c>
      <c r="E220" s="2">
        <v>54</v>
      </c>
      <c r="G220" s="34">
        <v>44488</v>
      </c>
    </row>
    <row r="221" spans="1:7" hidden="1" x14ac:dyDescent="0.25">
      <c r="A221" t="s">
        <v>541</v>
      </c>
      <c r="B221" s="2" t="s">
        <v>173</v>
      </c>
      <c r="C221" s="2">
        <v>0</v>
      </c>
      <c r="E221" s="2">
        <v>9</v>
      </c>
      <c r="G221" s="34">
        <v>44488</v>
      </c>
    </row>
    <row r="222" spans="1:7" hidden="1" x14ac:dyDescent="0.25">
      <c r="A222" t="s">
        <v>543</v>
      </c>
      <c r="B222" s="2" t="s">
        <v>535</v>
      </c>
      <c r="C222" s="2">
        <v>0</v>
      </c>
      <c r="E222" s="2">
        <v>389</v>
      </c>
      <c r="G222" s="34">
        <v>44488</v>
      </c>
    </row>
    <row r="223" spans="1:7" hidden="1" x14ac:dyDescent="0.25">
      <c r="A223" t="s">
        <v>545</v>
      </c>
      <c r="B223" s="2" t="s">
        <v>173</v>
      </c>
      <c r="C223" s="2">
        <v>0</v>
      </c>
      <c r="E223" s="2">
        <v>590</v>
      </c>
      <c r="G223" s="34">
        <v>44488</v>
      </c>
    </row>
    <row r="224" spans="1:7" hidden="1" x14ac:dyDescent="0.25">
      <c r="A224" t="s">
        <v>547</v>
      </c>
      <c r="B224" s="2" t="s">
        <v>173</v>
      </c>
      <c r="C224" s="2">
        <v>0</v>
      </c>
      <c r="E224" s="2">
        <v>244</v>
      </c>
      <c r="G224" s="34">
        <v>44488</v>
      </c>
    </row>
    <row r="225" spans="1:8" hidden="1" x14ac:dyDescent="0.25">
      <c r="A225" t="s">
        <v>550</v>
      </c>
      <c r="B225" s="2" t="s">
        <v>221</v>
      </c>
      <c r="C225" s="2">
        <v>0</v>
      </c>
      <c r="E225" s="2">
        <v>151</v>
      </c>
      <c r="G225" s="34">
        <v>44489</v>
      </c>
    </row>
    <row r="226" spans="1:8" hidden="1" x14ac:dyDescent="0.25">
      <c r="A226" t="s">
        <v>231</v>
      </c>
      <c r="B226" s="2" t="s">
        <v>50</v>
      </c>
      <c r="C226" s="2">
        <v>25</v>
      </c>
      <c r="D226" s="2" t="s">
        <v>559</v>
      </c>
      <c r="E226" s="2">
        <v>422.4</v>
      </c>
      <c r="F226" s="3">
        <v>44517</v>
      </c>
      <c r="H226" t="s">
        <v>560</v>
      </c>
    </row>
    <row r="227" spans="1:8" hidden="1" x14ac:dyDescent="0.25">
      <c r="A227" t="s">
        <v>561</v>
      </c>
      <c r="B227" s="2" t="s">
        <v>173</v>
      </c>
      <c r="C227" s="2">
        <v>25</v>
      </c>
      <c r="D227" s="2" t="s">
        <v>592</v>
      </c>
      <c r="E227" s="2">
        <v>17</v>
      </c>
      <c r="F227" s="34">
        <v>44572</v>
      </c>
      <c r="G227" s="34">
        <v>44539</v>
      </c>
    </row>
    <row r="228" spans="1:8" hidden="1" x14ac:dyDescent="0.25">
      <c r="A228" t="s">
        <v>563</v>
      </c>
      <c r="B228" s="2" t="s">
        <v>221</v>
      </c>
      <c r="C228" s="2">
        <v>0</v>
      </c>
      <c r="D228" s="2" t="s">
        <v>451</v>
      </c>
      <c r="E228" s="2">
        <v>110</v>
      </c>
      <c r="G228" s="34">
        <v>44543</v>
      </c>
    </row>
    <row r="229" spans="1:8" hidden="1" x14ac:dyDescent="0.25">
      <c r="A229" t="s">
        <v>565</v>
      </c>
      <c r="B229" s="2" t="s">
        <v>12</v>
      </c>
      <c r="C229" s="2">
        <v>0</v>
      </c>
      <c r="E229" s="2">
        <v>3</v>
      </c>
      <c r="G229" s="34">
        <v>44543</v>
      </c>
    </row>
    <row r="230" spans="1:8" hidden="1" x14ac:dyDescent="0.25">
      <c r="A230" t="s">
        <v>567</v>
      </c>
      <c r="B230" s="2" t="s">
        <v>11</v>
      </c>
      <c r="C230" s="2">
        <v>0</v>
      </c>
      <c r="D230" s="2">
        <v>0</v>
      </c>
      <c r="E230" s="2">
        <v>3</v>
      </c>
      <c r="G230" s="34">
        <v>44543</v>
      </c>
    </row>
    <row r="231" spans="1:8" x14ac:dyDescent="0.25">
      <c r="A231" t="s">
        <v>570</v>
      </c>
      <c r="B231" s="2" t="s">
        <v>149</v>
      </c>
      <c r="C231" s="2">
        <v>0</v>
      </c>
      <c r="E231" s="2">
        <v>2950</v>
      </c>
      <c r="G231" s="34">
        <v>44543</v>
      </c>
    </row>
    <row r="232" spans="1:8" hidden="1" x14ac:dyDescent="0.25">
      <c r="A232" t="s">
        <v>576</v>
      </c>
      <c r="B232" s="2" t="s">
        <v>12</v>
      </c>
      <c r="C232" s="2">
        <v>50</v>
      </c>
      <c r="D232" s="2" t="s">
        <v>583</v>
      </c>
      <c r="E232" s="2">
        <v>3</v>
      </c>
      <c r="G232" s="34">
        <v>44543</v>
      </c>
    </row>
    <row r="233" spans="1:8" hidden="1" x14ac:dyDescent="0.25">
      <c r="A233" t="s">
        <v>578</v>
      </c>
      <c r="B233" s="2" t="s">
        <v>12</v>
      </c>
      <c r="C233" s="2">
        <v>50</v>
      </c>
      <c r="D233" s="2" t="s">
        <v>583</v>
      </c>
      <c r="E233" s="2">
        <v>3</v>
      </c>
      <c r="F233" s="54">
        <v>44566</v>
      </c>
      <c r="G233" s="34">
        <v>44543</v>
      </c>
    </row>
    <row r="234" spans="1:8" hidden="1" x14ac:dyDescent="0.25">
      <c r="A234" t="s">
        <v>268</v>
      </c>
      <c r="B234" s="2" t="s">
        <v>12</v>
      </c>
      <c r="C234" s="2">
        <v>10</v>
      </c>
      <c r="E234" s="2">
        <v>31</v>
      </c>
      <c r="F234" s="54"/>
    </row>
    <row r="235" spans="1:8" hidden="1" x14ac:dyDescent="0.25">
      <c r="A235" t="s">
        <v>191</v>
      </c>
      <c r="B235" s="2" t="s">
        <v>13</v>
      </c>
      <c r="C235" s="2">
        <v>50</v>
      </c>
      <c r="E235" s="2">
        <v>7</v>
      </c>
      <c r="F235" s="54"/>
    </row>
    <row r="236" spans="1:8" hidden="1" x14ac:dyDescent="0.25">
      <c r="A236" t="s">
        <v>325</v>
      </c>
      <c r="B236" s="2" t="s">
        <v>60</v>
      </c>
      <c r="C236" s="2">
        <v>10</v>
      </c>
      <c r="E236" s="2">
        <v>9</v>
      </c>
      <c r="F236" s="54"/>
    </row>
    <row r="237" spans="1:8" hidden="1" x14ac:dyDescent="0.25">
      <c r="A237" t="s">
        <v>184</v>
      </c>
      <c r="B237" s="2" t="s">
        <v>88</v>
      </c>
      <c r="C237" s="2">
        <v>25</v>
      </c>
      <c r="E237" s="2">
        <v>30</v>
      </c>
      <c r="F237" s="54"/>
    </row>
    <row r="238" spans="1:8" hidden="1" x14ac:dyDescent="0.25">
      <c r="A238" t="s">
        <v>185</v>
      </c>
      <c r="B238" s="2" t="s">
        <v>88</v>
      </c>
      <c r="C238" s="2">
        <v>25</v>
      </c>
      <c r="E238" s="2">
        <v>32</v>
      </c>
      <c r="F238" s="54"/>
    </row>
    <row r="239" spans="1:8" hidden="1" x14ac:dyDescent="0.25">
      <c r="A239" t="s">
        <v>437</v>
      </c>
      <c r="B239" s="2" t="s">
        <v>7</v>
      </c>
      <c r="C239" s="2">
        <v>10</v>
      </c>
      <c r="E239" s="2">
        <v>27</v>
      </c>
      <c r="F239" s="54"/>
    </row>
    <row r="240" spans="1:8" hidden="1" x14ac:dyDescent="0.25">
      <c r="A240" t="s">
        <v>308</v>
      </c>
      <c r="B240" s="2" t="s">
        <v>7</v>
      </c>
      <c r="C240" s="2">
        <v>10</v>
      </c>
      <c r="E240" s="2">
        <v>56.85</v>
      </c>
      <c r="F240" s="54"/>
    </row>
    <row r="241" spans="1:6" hidden="1" x14ac:dyDescent="0.25">
      <c r="A241" t="s">
        <v>586</v>
      </c>
      <c r="B241" s="2" t="s">
        <v>587</v>
      </c>
      <c r="C241" s="2">
        <v>10</v>
      </c>
      <c r="E241" s="2">
        <v>105</v>
      </c>
      <c r="F241" s="54"/>
    </row>
    <row r="242" spans="1:6" hidden="1" x14ac:dyDescent="0.25">
      <c r="A242" t="s">
        <v>219</v>
      </c>
      <c r="B242" s="2" t="s">
        <v>12</v>
      </c>
      <c r="C242" s="2">
        <v>50</v>
      </c>
      <c r="D242" s="2" t="s">
        <v>583</v>
      </c>
      <c r="E242" s="2">
        <v>3</v>
      </c>
      <c r="F242" s="54"/>
    </row>
    <row r="243" spans="1:6" hidden="1" x14ac:dyDescent="0.25">
      <c r="A243" t="s">
        <v>588</v>
      </c>
      <c r="B243" s="2" t="s">
        <v>585</v>
      </c>
      <c r="C243" s="2">
        <v>10</v>
      </c>
      <c r="E243" s="2">
        <v>27</v>
      </c>
      <c r="F243" s="54"/>
    </row>
    <row r="244" spans="1:6" hidden="1" x14ac:dyDescent="0.25">
      <c r="A244" t="s">
        <v>270</v>
      </c>
      <c r="B244" s="2" t="s">
        <v>12</v>
      </c>
      <c r="C244" s="2">
        <v>10</v>
      </c>
      <c r="E244" s="2">
        <v>38</v>
      </c>
      <c r="F244" s="54"/>
    </row>
    <row r="245" spans="1:6" hidden="1" x14ac:dyDescent="0.25">
      <c r="A245" t="s">
        <v>214</v>
      </c>
      <c r="B245" s="2" t="s">
        <v>12</v>
      </c>
      <c r="C245" s="2">
        <v>10</v>
      </c>
      <c r="E245" s="2">
        <v>11</v>
      </c>
      <c r="F245" s="54"/>
    </row>
    <row r="246" spans="1:6" hidden="1" x14ac:dyDescent="0.25">
      <c r="A246" t="s">
        <v>169</v>
      </c>
      <c r="B246" s="2" t="s">
        <v>9</v>
      </c>
      <c r="C246" s="2">
        <v>6</v>
      </c>
      <c r="E246" s="2">
        <v>3321</v>
      </c>
      <c r="F246" s="54"/>
    </row>
    <row r="247" spans="1:6" hidden="1" x14ac:dyDescent="0.25">
      <c r="A247" t="s">
        <v>371</v>
      </c>
      <c r="B247" s="2" t="s">
        <v>49</v>
      </c>
      <c r="C247" s="2">
        <v>7</v>
      </c>
      <c r="E247" s="2">
        <v>35</v>
      </c>
      <c r="F247" s="54"/>
    </row>
    <row r="248" spans="1:6" hidden="1" x14ac:dyDescent="0.25">
      <c r="A248" t="s">
        <v>590</v>
      </c>
      <c r="B248" s="2" t="s">
        <v>221</v>
      </c>
      <c r="C248" s="2">
        <v>50</v>
      </c>
      <c r="D248" s="2" t="s">
        <v>451</v>
      </c>
      <c r="E248" s="2">
        <v>41</v>
      </c>
      <c r="F248" s="3">
        <v>44572</v>
      </c>
    </row>
    <row r="249" spans="1:6" hidden="1" x14ac:dyDescent="0.25">
      <c r="A249" t="s">
        <v>14</v>
      </c>
      <c r="B249" s="2" t="s">
        <v>593</v>
      </c>
      <c r="C249" s="2">
        <v>30</v>
      </c>
      <c r="E249" s="2">
        <v>142</v>
      </c>
      <c r="F249" s="3">
        <v>44572</v>
      </c>
    </row>
    <row r="250" spans="1:6" hidden="1" x14ac:dyDescent="0.25">
      <c r="A250" t="s">
        <v>191</v>
      </c>
      <c r="B250" s="2" t="s">
        <v>13</v>
      </c>
      <c r="C250" s="2">
        <v>100</v>
      </c>
      <c r="E250" s="2">
        <v>6.54</v>
      </c>
      <c r="F250" s="3">
        <v>44572</v>
      </c>
    </row>
    <row r="251" spans="1:6" hidden="1" x14ac:dyDescent="0.25">
      <c r="A251" t="s">
        <v>146</v>
      </c>
      <c r="B251" s="2" t="s">
        <v>60</v>
      </c>
      <c r="C251" s="2">
        <v>100</v>
      </c>
      <c r="E251" s="2">
        <v>6.17</v>
      </c>
      <c r="F251" s="3">
        <v>44572</v>
      </c>
    </row>
    <row r="252" spans="1:6" hidden="1" x14ac:dyDescent="0.25">
      <c r="A252" t="s">
        <v>594</v>
      </c>
      <c r="B252" s="2" t="s">
        <v>12</v>
      </c>
      <c r="C252" s="2">
        <v>2</v>
      </c>
      <c r="E252" s="2">
        <v>138</v>
      </c>
      <c r="F252" s="3">
        <v>44572</v>
      </c>
    </row>
    <row r="253" spans="1:6" hidden="1" x14ac:dyDescent="0.25">
      <c r="A253" t="s">
        <v>57</v>
      </c>
      <c r="B253" s="2" t="s">
        <v>12</v>
      </c>
      <c r="C253" s="2">
        <v>30</v>
      </c>
      <c r="E253" s="2">
        <v>27</v>
      </c>
      <c r="F253" s="3">
        <v>44572</v>
      </c>
    </row>
    <row r="254" spans="1:6" hidden="1" x14ac:dyDescent="0.25">
      <c r="A254" t="s">
        <v>595</v>
      </c>
      <c r="B254" s="2" t="s">
        <v>9</v>
      </c>
      <c r="C254" s="2">
        <v>0</v>
      </c>
    </row>
    <row r="255" spans="1:6" hidden="1" x14ac:dyDescent="0.25">
      <c r="A255" t="s">
        <v>596</v>
      </c>
      <c r="B255" s="2" t="s">
        <v>9</v>
      </c>
      <c r="C255" s="2">
        <v>0</v>
      </c>
    </row>
    <row r="256" spans="1:6" hidden="1" x14ac:dyDescent="0.25">
      <c r="A256" t="s">
        <v>597</v>
      </c>
      <c r="B256" s="2" t="s">
        <v>9</v>
      </c>
      <c r="C256" s="2">
        <v>0</v>
      </c>
    </row>
    <row r="257" spans="1:6" hidden="1" x14ac:dyDescent="0.25">
      <c r="A257" t="s">
        <v>598</v>
      </c>
      <c r="B257" s="2" t="s">
        <v>9</v>
      </c>
      <c r="C257" s="2">
        <v>0</v>
      </c>
    </row>
    <row r="258" spans="1:6" hidden="1" x14ac:dyDescent="0.25">
      <c r="A258" t="s">
        <v>600</v>
      </c>
      <c r="B258" s="2" t="s">
        <v>9</v>
      </c>
      <c r="C258" s="2">
        <v>0</v>
      </c>
    </row>
    <row r="259" spans="1:6" hidden="1" x14ac:dyDescent="0.25">
      <c r="A259" t="s">
        <v>601</v>
      </c>
      <c r="B259" s="2" t="s">
        <v>9</v>
      </c>
      <c r="C259" s="2">
        <v>0</v>
      </c>
    </row>
    <row r="260" spans="1:6" hidden="1" x14ac:dyDescent="0.25">
      <c r="A260" t="s">
        <v>602</v>
      </c>
      <c r="B260" s="2" t="s">
        <v>9</v>
      </c>
      <c r="C260" s="2">
        <v>0</v>
      </c>
    </row>
    <row r="261" spans="1:6" hidden="1" x14ac:dyDescent="0.25">
      <c r="A261" t="s">
        <v>604</v>
      </c>
      <c r="B261" s="2" t="s">
        <v>50</v>
      </c>
      <c r="C261" s="2">
        <v>0</v>
      </c>
    </row>
    <row r="262" spans="1:6" hidden="1" x14ac:dyDescent="0.25">
      <c r="A262" t="s">
        <v>606</v>
      </c>
      <c r="B262" s="2" t="s">
        <v>5</v>
      </c>
      <c r="C262" s="2">
        <v>0</v>
      </c>
    </row>
    <row r="263" spans="1:6" hidden="1" x14ac:dyDescent="0.25">
      <c r="A263" t="s">
        <v>608</v>
      </c>
      <c r="B263" s="2" t="s">
        <v>5</v>
      </c>
      <c r="C263" s="2">
        <v>0</v>
      </c>
    </row>
    <row r="264" spans="1:6" hidden="1" x14ac:dyDescent="0.25">
      <c r="A264" t="s">
        <v>610</v>
      </c>
      <c r="B264" s="2" t="s">
        <v>37</v>
      </c>
      <c r="C264" s="2">
        <v>35</v>
      </c>
      <c r="D264" s="2" t="s">
        <v>703</v>
      </c>
      <c r="E264" s="2">
        <v>170</v>
      </c>
      <c r="F264" s="3">
        <v>44669</v>
      </c>
    </row>
    <row r="265" spans="1:6" hidden="1" x14ac:dyDescent="0.25">
      <c r="A265" t="s">
        <v>612</v>
      </c>
      <c r="B265" s="2" t="s">
        <v>37</v>
      </c>
      <c r="C265" s="2">
        <v>35</v>
      </c>
      <c r="D265" s="2" t="s">
        <v>703</v>
      </c>
      <c r="E265" s="2">
        <v>52.44</v>
      </c>
      <c r="F265" s="3">
        <v>44669</v>
      </c>
    </row>
    <row r="266" spans="1:6" hidden="1" x14ac:dyDescent="0.25">
      <c r="A266" t="s">
        <v>614</v>
      </c>
      <c r="B266" s="2" t="s">
        <v>37</v>
      </c>
      <c r="C266" s="2">
        <v>10</v>
      </c>
      <c r="D266" s="2" t="s">
        <v>703</v>
      </c>
      <c r="E266" s="2">
        <v>65.5</v>
      </c>
      <c r="F266" s="3">
        <v>44669</v>
      </c>
    </row>
    <row r="267" spans="1:6" hidden="1" x14ac:dyDescent="0.25">
      <c r="A267" t="s">
        <v>616</v>
      </c>
      <c r="B267" s="2" t="s">
        <v>5</v>
      </c>
      <c r="C267" s="2">
        <v>10</v>
      </c>
      <c r="D267" s="2" t="s">
        <v>704</v>
      </c>
      <c r="E267" s="2">
        <v>740</v>
      </c>
      <c r="F267" s="3">
        <v>44669</v>
      </c>
    </row>
    <row r="268" spans="1:6" hidden="1" x14ac:dyDescent="0.25">
      <c r="A268" t="s">
        <v>618</v>
      </c>
      <c r="B268" s="2" t="s">
        <v>5</v>
      </c>
      <c r="C268" s="2">
        <v>20</v>
      </c>
      <c r="D268" s="2" t="s">
        <v>704</v>
      </c>
      <c r="E268" s="2">
        <v>523.79999999999995</v>
      </c>
      <c r="F268" s="3">
        <v>44669</v>
      </c>
    </row>
    <row r="269" spans="1:6" hidden="1" x14ac:dyDescent="0.25">
      <c r="A269" t="s">
        <v>620</v>
      </c>
      <c r="B269" s="2" t="s">
        <v>12</v>
      </c>
      <c r="C269" s="2">
        <v>0</v>
      </c>
      <c r="E269" s="2">
        <v>8</v>
      </c>
      <c r="F269" s="3">
        <v>44630</v>
      </c>
    </row>
    <row r="270" spans="1:6" hidden="1" x14ac:dyDescent="0.25">
      <c r="A270" t="s">
        <v>625</v>
      </c>
      <c r="B270" s="2" t="s">
        <v>12</v>
      </c>
      <c r="C270" s="2">
        <v>0</v>
      </c>
      <c r="E270" s="2">
        <v>24</v>
      </c>
      <c r="F270" s="3">
        <v>44630</v>
      </c>
    </row>
    <row r="271" spans="1:6" hidden="1" x14ac:dyDescent="0.25">
      <c r="A271" t="s">
        <v>643</v>
      </c>
      <c r="B271" s="2" t="s">
        <v>12</v>
      </c>
      <c r="C271" s="2">
        <v>0</v>
      </c>
      <c r="E271" s="2">
        <v>75</v>
      </c>
      <c r="F271" s="3">
        <v>44630</v>
      </c>
    </row>
    <row r="272" spans="1:6" hidden="1" x14ac:dyDescent="0.25">
      <c r="A272" t="s">
        <v>628</v>
      </c>
      <c r="B272" s="2" t="s">
        <v>12</v>
      </c>
      <c r="C272" s="2">
        <v>0</v>
      </c>
      <c r="E272" s="2">
        <v>13</v>
      </c>
      <c r="F272" s="3">
        <v>44630</v>
      </c>
    </row>
    <row r="273" spans="1:6" hidden="1" x14ac:dyDescent="0.25">
      <c r="A273" t="s">
        <v>629</v>
      </c>
      <c r="B273" s="2" t="s">
        <v>12</v>
      </c>
      <c r="C273" s="2">
        <v>0</v>
      </c>
      <c r="E273" s="2">
        <v>10</v>
      </c>
      <c r="F273" s="3">
        <v>44630</v>
      </c>
    </row>
    <row r="274" spans="1:6" hidden="1" x14ac:dyDescent="0.25">
      <c r="A274" t="s">
        <v>631</v>
      </c>
      <c r="B274" s="2" t="s">
        <v>12</v>
      </c>
      <c r="C274" s="2">
        <v>0</v>
      </c>
      <c r="E274" s="2">
        <v>25</v>
      </c>
    </row>
    <row r="275" spans="1:6" hidden="1" x14ac:dyDescent="0.25">
      <c r="A275" t="s">
        <v>633</v>
      </c>
      <c r="B275" s="2" t="s">
        <v>12</v>
      </c>
      <c r="C275" s="2">
        <v>0</v>
      </c>
      <c r="E275" s="2">
        <v>3</v>
      </c>
    </row>
    <row r="276" spans="1:6" hidden="1" x14ac:dyDescent="0.25">
      <c r="A276" t="s">
        <v>635</v>
      </c>
      <c r="B276" s="2" t="s">
        <v>12</v>
      </c>
      <c r="C276" s="2">
        <v>0</v>
      </c>
      <c r="E276" s="2">
        <v>3</v>
      </c>
    </row>
    <row r="277" spans="1:6" hidden="1" x14ac:dyDescent="0.25">
      <c r="A277" t="s">
        <v>637</v>
      </c>
      <c r="B277" s="2" t="s">
        <v>13</v>
      </c>
      <c r="C277" s="2">
        <v>15</v>
      </c>
      <c r="D277" s="2" t="s">
        <v>409</v>
      </c>
      <c r="E277" s="2">
        <v>20.96</v>
      </c>
      <c r="F277" s="3">
        <v>44669</v>
      </c>
    </row>
    <row r="278" spans="1:6" hidden="1" x14ac:dyDescent="0.25">
      <c r="A278" t="s">
        <v>639</v>
      </c>
      <c r="B278" s="2" t="s">
        <v>13</v>
      </c>
      <c r="C278" s="2">
        <v>0</v>
      </c>
      <c r="D278" s="2" t="s">
        <v>409</v>
      </c>
      <c r="E278" s="2">
        <v>75</v>
      </c>
      <c r="F278" s="3">
        <v>44629</v>
      </c>
    </row>
    <row r="279" spans="1:6" hidden="1" x14ac:dyDescent="0.25">
      <c r="A279" t="s">
        <v>641</v>
      </c>
      <c r="B279" s="2" t="s">
        <v>11</v>
      </c>
      <c r="C279" s="2">
        <v>0</v>
      </c>
      <c r="D279" s="2">
        <v>0</v>
      </c>
      <c r="E279" s="2">
        <v>3</v>
      </c>
      <c r="F279" s="34">
        <v>44630</v>
      </c>
    </row>
    <row r="280" spans="1:6" hidden="1" x14ac:dyDescent="0.25">
      <c r="A280" t="s">
        <v>644</v>
      </c>
      <c r="B280" s="2" t="s">
        <v>11</v>
      </c>
      <c r="C280" s="2">
        <v>0</v>
      </c>
      <c r="E280" s="2">
        <v>3</v>
      </c>
      <c r="F280" s="34">
        <v>44630</v>
      </c>
    </row>
    <row r="281" spans="1:6" hidden="1" x14ac:dyDescent="0.25">
      <c r="A281" t="s">
        <v>646</v>
      </c>
      <c r="B281" s="2" t="s">
        <v>12</v>
      </c>
      <c r="C281" s="2">
        <v>20</v>
      </c>
      <c r="D281" s="2" t="s">
        <v>705</v>
      </c>
      <c r="E281" s="2">
        <v>66.7</v>
      </c>
      <c r="F281" s="3">
        <v>44669</v>
      </c>
    </row>
    <row r="282" spans="1:6" hidden="1" x14ac:dyDescent="0.25">
      <c r="A282" t="s">
        <v>648</v>
      </c>
      <c r="B282" s="2" t="s">
        <v>11</v>
      </c>
      <c r="C282" s="2">
        <v>0</v>
      </c>
      <c r="E282" s="2">
        <v>3</v>
      </c>
      <c r="F282" s="34">
        <v>44630</v>
      </c>
    </row>
    <row r="283" spans="1:6" hidden="1" x14ac:dyDescent="0.25">
      <c r="A283" t="s">
        <v>650</v>
      </c>
      <c r="B283" s="2" t="s">
        <v>11</v>
      </c>
      <c r="C283" s="2">
        <v>0</v>
      </c>
      <c r="E283" s="2">
        <v>4</v>
      </c>
      <c r="F283" s="34">
        <v>44630</v>
      </c>
    </row>
    <row r="284" spans="1:6" hidden="1" x14ac:dyDescent="0.25">
      <c r="A284" t="s">
        <v>652</v>
      </c>
      <c r="B284" s="2" t="s">
        <v>11</v>
      </c>
      <c r="C284" s="2">
        <v>0</v>
      </c>
      <c r="E284" s="2">
        <v>3</v>
      </c>
      <c r="F284" s="34">
        <v>44630</v>
      </c>
    </row>
    <row r="285" spans="1:6" hidden="1" x14ac:dyDescent="0.25">
      <c r="A285" t="s">
        <v>654</v>
      </c>
      <c r="B285" s="2" t="s">
        <v>11</v>
      </c>
      <c r="C285" s="2">
        <v>0</v>
      </c>
      <c r="E285" s="2">
        <v>3</v>
      </c>
      <c r="F285" s="34">
        <v>44630</v>
      </c>
    </row>
    <row r="286" spans="1:6" hidden="1" x14ac:dyDescent="0.25">
      <c r="A286" t="s">
        <v>656</v>
      </c>
      <c r="B286" s="2" t="s">
        <v>11</v>
      </c>
      <c r="C286" s="2">
        <v>0</v>
      </c>
      <c r="E286" s="2">
        <v>3</v>
      </c>
      <c r="F286" s="34">
        <v>44630</v>
      </c>
    </row>
    <row r="287" spans="1:6" hidden="1" x14ac:dyDescent="0.25">
      <c r="A287" t="s">
        <v>657</v>
      </c>
      <c r="B287" s="2" t="s">
        <v>11</v>
      </c>
      <c r="C287" s="2">
        <v>0</v>
      </c>
      <c r="E287" s="2">
        <v>4</v>
      </c>
      <c r="F287" s="34">
        <v>44630</v>
      </c>
    </row>
    <row r="288" spans="1:6" hidden="1" x14ac:dyDescent="0.25">
      <c r="A288" t="s">
        <v>660</v>
      </c>
      <c r="B288" s="2" t="s">
        <v>11</v>
      </c>
      <c r="C288" s="2">
        <v>0</v>
      </c>
      <c r="E288" s="2">
        <v>3</v>
      </c>
      <c r="F288" s="34">
        <v>44630</v>
      </c>
    </row>
    <row r="289" spans="1:6" hidden="1" x14ac:dyDescent="0.25">
      <c r="A289" t="s">
        <v>662</v>
      </c>
      <c r="B289" s="2" t="s">
        <v>60</v>
      </c>
      <c r="C289" s="2">
        <v>0</v>
      </c>
      <c r="E289" s="2">
        <v>15</v>
      </c>
      <c r="F289" s="34">
        <v>44630</v>
      </c>
    </row>
    <row r="290" spans="1:6" hidden="1" x14ac:dyDescent="0.25">
      <c r="A290" t="s">
        <v>664</v>
      </c>
      <c r="B290" s="2" t="s">
        <v>37</v>
      </c>
      <c r="C290" s="2">
        <v>25</v>
      </c>
      <c r="D290" s="2" t="s">
        <v>703</v>
      </c>
      <c r="E290" s="2">
        <v>84.52</v>
      </c>
      <c r="F290" s="3">
        <v>44669</v>
      </c>
    </row>
    <row r="291" spans="1:6" hidden="1" x14ac:dyDescent="0.25">
      <c r="A291" t="s">
        <v>665</v>
      </c>
      <c r="B291" s="2" t="s">
        <v>88</v>
      </c>
      <c r="C291" s="2">
        <v>0</v>
      </c>
      <c r="E291" s="2">
        <v>988</v>
      </c>
      <c r="F291" s="3">
        <v>44634</v>
      </c>
    </row>
    <row r="292" spans="1:6" hidden="1" x14ac:dyDescent="0.25">
      <c r="A292" t="s">
        <v>669</v>
      </c>
      <c r="B292" s="2" t="s">
        <v>12</v>
      </c>
      <c r="C292" s="2">
        <v>0</v>
      </c>
      <c r="E292" s="2">
        <v>8</v>
      </c>
      <c r="F292" s="3">
        <v>44634</v>
      </c>
    </row>
    <row r="293" spans="1:6" hidden="1" x14ac:dyDescent="0.25">
      <c r="A293" t="s">
        <v>671</v>
      </c>
      <c r="B293" s="2" t="s">
        <v>12</v>
      </c>
      <c r="C293" s="2">
        <v>0</v>
      </c>
      <c r="E293" s="2">
        <v>3</v>
      </c>
      <c r="F293" s="3">
        <v>44634</v>
      </c>
    </row>
    <row r="294" spans="1:6" hidden="1" x14ac:dyDescent="0.25">
      <c r="A294" t="s">
        <v>676</v>
      </c>
      <c r="B294" s="2" t="s">
        <v>88</v>
      </c>
      <c r="C294" s="2">
        <v>0</v>
      </c>
      <c r="D294" s="2" t="s">
        <v>707</v>
      </c>
      <c r="E294" s="2">
        <v>18</v>
      </c>
      <c r="F294" s="3">
        <v>44634</v>
      </c>
    </row>
    <row r="295" spans="1:6" hidden="1" x14ac:dyDescent="0.25">
      <c r="A295" t="s">
        <v>678</v>
      </c>
      <c r="B295" s="2" t="s">
        <v>11</v>
      </c>
      <c r="C295" s="2">
        <v>0</v>
      </c>
      <c r="E295" s="2">
        <v>3</v>
      </c>
      <c r="F295" s="34">
        <v>44630</v>
      </c>
    </row>
    <row r="296" spans="1:6" hidden="1" x14ac:dyDescent="0.25">
      <c r="A296" t="s">
        <v>680</v>
      </c>
      <c r="B296" s="2" t="s">
        <v>11</v>
      </c>
      <c r="C296" s="2">
        <v>0</v>
      </c>
      <c r="E296" s="2">
        <v>3</v>
      </c>
      <c r="F296" s="34">
        <v>44630</v>
      </c>
    </row>
    <row r="297" spans="1:6" hidden="1" x14ac:dyDescent="0.25">
      <c r="A297" t="s">
        <v>682</v>
      </c>
      <c r="B297" s="2" t="s">
        <v>11</v>
      </c>
      <c r="C297" s="2">
        <v>0</v>
      </c>
      <c r="E297" s="2">
        <v>3</v>
      </c>
      <c r="F297" s="34">
        <v>44630</v>
      </c>
    </row>
    <row r="298" spans="1:6" hidden="1" x14ac:dyDescent="0.25">
      <c r="A298" t="s">
        <v>683</v>
      </c>
      <c r="B298" s="2" t="s">
        <v>11</v>
      </c>
      <c r="C298" s="2">
        <v>0</v>
      </c>
      <c r="E298" s="2">
        <v>3</v>
      </c>
      <c r="F298" s="34">
        <v>44630</v>
      </c>
    </row>
    <row r="299" spans="1:6" hidden="1" x14ac:dyDescent="0.25">
      <c r="A299" t="s">
        <v>685</v>
      </c>
      <c r="B299" s="2" t="s">
        <v>11</v>
      </c>
      <c r="C299" s="2">
        <v>0</v>
      </c>
      <c r="E299" s="2">
        <v>3</v>
      </c>
      <c r="F299" s="34">
        <v>44630</v>
      </c>
    </row>
    <row r="300" spans="1:6" hidden="1" x14ac:dyDescent="0.25">
      <c r="A300" t="s">
        <v>687</v>
      </c>
      <c r="B300" s="2" t="s">
        <v>11</v>
      </c>
      <c r="C300" s="2">
        <v>0</v>
      </c>
      <c r="E300" s="2">
        <v>3</v>
      </c>
      <c r="F300" s="34">
        <v>44630</v>
      </c>
    </row>
    <row r="301" spans="1:6" hidden="1" x14ac:dyDescent="0.25">
      <c r="A301" t="s">
        <v>689</v>
      </c>
      <c r="B301" s="2" t="s">
        <v>11</v>
      </c>
      <c r="C301" s="2">
        <v>0</v>
      </c>
      <c r="E301" s="2">
        <v>3</v>
      </c>
      <c r="F301" s="34">
        <v>44630</v>
      </c>
    </row>
    <row r="302" spans="1:6" hidden="1" x14ac:dyDescent="0.25">
      <c r="A302" t="s">
        <v>695</v>
      </c>
      <c r="B302" s="2" t="s">
        <v>11</v>
      </c>
      <c r="C302" s="2">
        <v>10</v>
      </c>
      <c r="D302" s="2" t="s">
        <v>556</v>
      </c>
      <c r="E302" s="2">
        <v>5.6</v>
      </c>
      <c r="F302" s="3">
        <v>44669</v>
      </c>
    </row>
    <row r="303" spans="1:6" hidden="1" x14ac:dyDescent="0.25">
      <c r="A303" t="s">
        <v>697</v>
      </c>
      <c r="B303" s="2" t="s">
        <v>50</v>
      </c>
      <c r="C303" s="2">
        <v>0</v>
      </c>
      <c r="D303" s="2" t="s">
        <v>559</v>
      </c>
      <c r="E303" s="2">
        <v>244.1</v>
      </c>
      <c r="F303" s="3">
        <v>44669</v>
      </c>
    </row>
    <row r="304" spans="1:6" hidden="1" x14ac:dyDescent="0.25">
      <c r="A304" t="s">
        <v>699</v>
      </c>
      <c r="B304" s="2" t="s">
        <v>106</v>
      </c>
      <c r="C304" s="2">
        <v>0</v>
      </c>
      <c r="D304" s="2" t="s">
        <v>417</v>
      </c>
      <c r="E304" s="2">
        <v>67</v>
      </c>
      <c r="F304" s="3">
        <v>44645</v>
      </c>
    </row>
    <row r="305" spans="1:6" hidden="1" x14ac:dyDescent="0.25">
      <c r="A305" t="s">
        <v>93</v>
      </c>
      <c r="B305" s="2" t="s">
        <v>88</v>
      </c>
      <c r="C305" s="2">
        <v>10</v>
      </c>
      <c r="D305" s="2" t="s">
        <v>407</v>
      </c>
      <c r="E305" s="2">
        <v>42.2</v>
      </c>
      <c r="F305" s="3">
        <v>44669</v>
      </c>
    </row>
    <row r="306" spans="1:6" hidden="1" x14ac:dyDescent="0.25">
      <c r="A306" t="s">
        <v>169</v>
      </c>
      <c r="B306" s="2" t="s">
        <v>9</v>
      </c>
      <c r="C306" s="2">
        <v>5</v>
      </c>
      <c r="D306" s="2" t="s">
        <v>452</v>
      </c>
      <c r="E306" s="2">
        <v>3435</v>
      </c>
      <c r="F306" s="3">
        <v>44669</v>
      </c>
    </row>
    <row r="307" spans="1:6" hidden="1" x14ac:dyDescent="0.25">
      <c r="A307" t="s">
        <v>228</v>
      </c>
      <c r="B307" s="2" t="s">
        <v>50</v>
      </c>
      <c r="C307" s="2">
        <v>158</v>
      </c>
      <c r="D307" s="2" t="s">
        <v>493</v>
      </c>
      <c r="E307" s="2">
        <v>74.16</v>
      </c>
      <c r="F307" s="3">
        <v>44669</v>
      </c>
    </row>
    <row r="308" spans="1:6" hidden="1" x14ac:dyDescent="0.25">
      <c r="A308" t="s">
        <v>267</v>
      </c>
      <c r="B308" s="2" t="s">
        <v>75</v>
      </c>
      <c r="C308" s="2">
        <v>100</v>
      </c>
      <c r="D308" s="2" t="s">
        <v>418</v>
      </c>
      <c r="E308" s="2">
        <v>8.61</v>
      </c>
      <c r="F308" s="3">
        <v>44669</v>
      </c>
    </row>
    <row r="309" spans="1:6" hidden="1" x14ac:dyDescent="0.25">
      <c r="A309" t="s">
        <v>286</v>
      </c>
      <c r="B309" s="2" t="s">
        <v>60</v>
      </c>
      <c r="C309" s="2">
        <v>100</v>
      </c>
      <c r="D309" s="2" t="s">
        <v>572</v>
      </c>
      <c r="E309" s="2">
        <v>5.85</v>
      </c>
      <c r="F309" s="3">
        <v>44669</v>
      </c>
    </row>
    <row r="310" spans="1:6" hidden="1" x14ac:dyDescent="0.25">
      <c r="A310" t="s">
        <v>54</v>
      </c>
      <c r="B310" s="2" t="s">
        <v>7</v>
      </c>
      <c r="C310" s="2">
        <v>25</v>
      </c>
      <c r="D310" s="2" t="s">
        <v>415</v>
      </c>
      <c r="E310" s="2">
        <v>13.44</v>
      </c>
      <c r="F310" s="3">
        <v>44669</v>
      </c>
    </row>
    <row r="311" spans="1:6" hidden="1" x14ac:dyDescent="0.25">
      <c r="A311" t="s">
        <v>701</v>
      </c>
      <c r="B311" s="2" t="s">
        <v>7</v>
      </c>
      <c r="C311" s="2">
        <v>10</v>
      </c>
      <c r="D311" s="2" t="s">
        <v>496</v>
      </c>
      <c r="E311" s="2">
        <v>51</v>
      </c>
      <c r="F311" s="3">
        <v>44669</v>
      </c>
    </row>
    <row r="312" spans="1:6" hidden="1" x14ac:dyDescent="0.25">
      <c r="A312" t="s">
        <v>699</v>
      </c>
      <c r="B312" s="2" t="s">
        <v>106</v>
      </c>
      <c r="C312" s="2">
        <v>10</v>
      </c>
      <c r="D312" s="2" t="s">
        <v>417</v>
      </c>
      <c r="E312" s="2">
        <v>61.8</v>
      </c>
      <c r="F312" s="3">
        <v>44669</v>
      </c>
    </row>
    <row r="313" spans="1:6" hidden="1" x14ac:dyDescent="0.25">
      <c r="A313" t="s">
        <v>184</v>
      </c>
      <c r="B313" s="2" t="s">
        <v>88</v>
      </c>
      <c r="C313" s="2">
        <v>10</v>
      </c>
      <c r="D313" s="2" t="s">
        <v>448</v>
      </c>
      <c r="E313" s="2">
        <v>27.6</v>
      </c>
      <c r="F313" s="3">
        <v>44669</v>
      </c>
    </row>
    <row r="314" spans="1:6" hidden="1" x14ac:dyDescent="0.25">
      <c r="A314" t="s">
        <v>185</v>
      </c>
      <c r="B314" s="2" t="s">
        <v>88</v>
      </c>
      <c r="C314" s="2">
        <v>15</v>
      </c>
      <c r="D314" s="2" t="s">
        <v>449</v>
      </c>
      <c r="E314" s="2">
        <v>29.3</v>
      </c>
      <c r="F314" s="3">
        <v>44669</v>
      </c>
    </row>
    <row r="315" spans="1:6" hidden="1" x14ac:dyDescent="0.25">
      <c r="A315" t="s">
        <v>311</v>
      </c>
      <c r="B315" s="2" t="s">
        <v>12</v>
      </c>
      <c r="C315" s="2">
        <v>50</v>
      </c>
      <c r="D315" s="2" t="s">
        <v>555</v>
      </c>
      <c r="E315" s="2">
        <v>19.82</v>
      </c>
      <c r="F315" s="3">
        <v>44669</v>
      </c>
    </row>
    <row r="316" spans="1:6" hidden="1" x14ac:dyDescent="0.25">
      <c r="A316" t="s">
        <v>64</v>
      </c>
      <c r="B316" s="2" t="s">
        <v>13</v>
      </c>
      <c r="C316" s="2">
        <v>20</v>
      </c>
      <c r="D316" s="2" t="s">
        <v>408</v>
      </c>
      <c r="E316" s="2">
        <v>71.400000000000006</v>
      </c>
      <c r="F316" s="3">
        <v>44669</v>
      </c>
    </row>
    <row r="317" spans="1:6" hidden="1" x14ac:dyDescent="0.25">
      <c r="A317" t="s">
        <v>639</v>
      </c>
      <c r="B317" s="2" t="s">
        <v>13</v>
      </c>
      <c r="C317" s="2">
        <v>15</v>
      </c>
      <c r="D317" s="2" t="s">
        <v>409</v>
      </c>
      <c r="E317" s="2">
        <v>75.3</v>
      </c>
      <c r="F317" s="3">
        <v>44669</v>
      </c>
    </row>
    <row r="318" spans="1:6" hidden="1" x14ac:dyDescent="0.25">
      <c r="A318" t="s">
        <v>191</v>
      </c>
      <c r="B318" s="2" t="s">
        <v>13</v>
      </c>
      <c r="C318" s="2">
        <v>100</v>
      </c>
      <c r="D318" s="2" t="s">
        <v>409</v>
      </c>
      <c r="E318" s="2">
        <v>1.1299999999999999</v>
      </c>
      <c r="F318" s="3">
        <v>44669</v>
      </c>
    </row>
    <row r="319" spans="1:6" hidden="1" x14ac:dyDescent="0.25">
      <c r="A319" t="s">
        <v>275</v>
      </c>
      <c r="B319" s="2" t="s">
        <v>7</v>
      </c>
      <c r="C319" s="2">
        <v>10</v>
      </c>
      <c r="D319" s="2" t="s">
        <v>494</v>
      </c>
      <c r="E319" s="2">
        <v>223.84</v>
      </c>
      <c r="F319" s="3">
        <v>44669</v>
      </c>
    </row>
    <row r="320" spans="1:6" hidden="1" x14ac:dyDescent="0.25">
      <c r="A320" t="s">
        <v>390</v>
      </c>
      <c r="B320" s="2" t="s">
        <v>173</v>
      </c>
      <c r="C320" s="2">
        <v>6</v>
      </c>
      <c r="D320" s="2" t="s">
        <v>396</v>
      </c>
      <c r="E320" s="2">
        <v>271.32</v>
      </c>
      <c r="F320" s="3">
        <v>44669</v>
      </c>
    </row>
    <row r="321" spans="1:6" hidden="1" x14ac:dyDescent="0.25">
      <c r="A321" t="s">
        <v>114</v>
      </c>
      <c r="B321" s="2" t="s">
        <v>30</v>
      </c>
      <c r="C321" s="2">
        <v>7</v>
      </c>
      <c r="D321" s="2" t="s">
        <v>421</v>
      </c>
      <c r="E321" s="2">
        <v>701</v>
      </c>
      <c r="F321" s="3">
        <v>44669</v>
      </c>
    </row>
    <row r="322" spans="1:6" hidden="1" x14ac:dyDescent="0.25">
      <c r="A322" t="s">
        <v>33</v>
      </c>
      <c r="B322" s="2" t="s">
        <v>30</v>
      </c>
      <c r="C322" s="2">
        <v>6</v>
      </c>
      <c r="D322" s="2" t="s">
        <v>582</v>
      </c>
      <c r="E322" s="2">
        <v>1421</v>
      </c>
      <c r="F322" s="3">
        <v>44669</v>
      </c>
    </row>
    <row r="323" spans="1:6" x14ac:dyDescent="0.25">
      <c r="A323" t="s">
        <v>706</v>
      </c>
      <c r="B323" s="2" t="s">
        <v>149</v>
      </c>
      <c r="C323" s="2">
        <v>10</v>
      </c>
      <c r="D323" s="2" t="s">
        <v>582</v>
      </c>
      <c r="E323" s="2">
        <v>312.5</v>
      </c>
      <c r="F323" s="3">
        <v>44706</v>
      </c>
    </row>
    <row r="324" spans="1:6" hidden="1" x14ac:dyDescent="0.25">
      <c r="A324" t="s">
        <v>94</v>
      </c>
      <c r="B324" s="2" t="s">
        <v>88</v>
      </c>
      <c r="C324" s="2">
        <v>50</v>
      </c>
      <c r="D324" s="2" t="s">
        <v>707</v>
      </c>
      <c r="E324" s="2">
        <v>9</v>
      </c>
      <c r="F324" s="3">
        <v>44686</v>
      </c>
    </row>
    <row r="325" spans="1:6" hidden="1" x14ac:dyDescent="0.25">
      <c r="A325" t="s">
        <v>96</v>
      </c>
      <c r="B325" s="2" t="s">
        <v>88</v>
      </c>
      <c r="C325" s="2">
        <v>20</v>
      </c>
      <c r="D325" s="2" t="s">
        <v>707</v>
      </c>
      <c r="E325" s="2">
        <v>13.5</v>
      </c>
      <c r="F325" s="3">
        <v>44686</v>
      </c>
    </row>
    <row r="326" spans="1:6" hidden="1" x14ac:dyDescent="0.25">
      <c r="A326" t="s">
        <v>676</v>
      </c>
      <c r="B326" s="2" t="s">
        <v>88</v>
      </c>
      <c r="C326" s="2">
        <v>30</v>
      </c>
      <c r="D326" s="2" t="s">
        <v>707</v>
      </c>
      <c r="E326" s="2">
        <v>18</v>
      </c>
      <c r="F326" s="3">
        <v>44686</v>
      </c>
    </row>
    <row r="327" spans="1:6" x14ac:dyDescent="0.25">
      <c r="F327" s="3"/>
    </row>
    <row r="1048575" spans="2:7" x14ac:dyDescent="0.25">
      <c r="G1048575" s="34">
        <v>44461</v>
      </c>
    </row>
    <row r="1048576" spans="2:7" x14ac:dyDescent="0.25">
      <c r="B1048576" s="2" t="s">
        <v>5</v>
      </c>
    </row>
  </sheetData>
  <autoFilter ref="A1:F327" xr:uid="{05C4BB82-A6CF-4B6B-8AF2-3C2D2F79CA05}">
    <filterColumn colId="1">
      <filters>
        <filter val="PCB"/>
      </filters>
    </filterColumn>
  </autoFilter>
  <mergeCells count="1">
    <mergeCell ref="F233:F247"/>
  </mergeCells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2FB8D-F9F8-4CE5-A2B5-B7E2B4444289}">
  <sheetPr codeName="工作表3"/>
  <dimension ref="A1:G25"/>
  <sheetViews>
    <sheetView workbookViewId="0">
      <selection activeCell="J12" sqref="J12"/>
    </sheetView>
  </sheetViews>
  <sheetFormatPr defaultRowHeight="15.75" x14ac:dyDescent="0.25"/>
  <cols>
    <col min="1" max="1" width="10.42578125" bestFit="1" customWidth="1"/>
    <col min="2" max="2" width="33.5703125" bestFit="1" customWidth="1"/>
    <col min="4" max="4" width="22.28515625" bestFit="1" customWidth="1"/>
    <col min="5" max="5" width="23.42578125" bestFit="1" customWidth="1"/>
    <col min="7" max="7" width="18" bestFit="1" customWidth="1"/>
  </cols>
  <sheetData>
    <row r="1" spans="1:7" x14ac:dyDescent="0.25">
      <c r="A1" s="8" t="s">
        <v>24</v>
      </c>
      <c r="C1" s="8" t="s">
        <v>20</v>
      </c>
      <c r="E1" s="8" t="s">
        <v>23</v>
      </c>
      <c r="G1" s="8" t="s">
        <v>102</v>
      </c>
    </row>
    <row r="2" spans="1:7" x14ac:dyDescent="0.25">
      <c r="A2" t="s">
        <v>5</v>
      </c>
      <c r="B2" t="s">
        <v>6</v>
      </c>
      <c r="C2" t="s">
        <v>21</v>
      </c>
      <c r="D2" t="s">
        <v>22</v>
      </c>
      <c r="E2" t="s">
        <v>15</v>
      </c>
      <c r="F2" t="s">
        <v>39</v>
      </c>
      <c r="G2" t="s">
        <v>103</v>
      </c>
    </row>
    <row r="3" spans="1:7" x14ac:dyDescent="0.25">
      <c r="A3" t="s">
        <v>7</v>
      </c>
      <c r="B3" t="s">
        <v>8</v>
      </c>
      <c r="E3" t="s">
        <v>40</v>
      </c>
      <c r="F3" t="s">
        <v>30</v>
      </c>
      <c r="G3" t="s">
        <v>381</v>
      </c>
    </row>
    <row r="4" spans="1:7" x14ac:dyDescent="0.25">
      <c r="A4" t="s">
        <v>9</v>
      </c>
      <c r="G4" t="s">
        <v>462</v>
      </c>
    </row>
    <row r="5" spans="1:7" x14ac:dyDescent="0.25">
      <c r="A5" t="s">
        <v>10</v>
      </c>
      <c r="G5" t="s">
        <v>500</v>
      </c>
    </row>
    <row r="6" spans="1:7" x14ac:dyDescent="0.25">
      <c r="A6" t="s">
        <v>126</v>
      </c>
      <c r="G6" t="s">
        <v>533</v>
      </c>
    </row>
    <row r="7" spans="1:7" x14ac:dyDescent="0.25">
      <c r="A7" t="s">
        <v>11</v>
      </c>
      <c r="E7" t="s">
        <v>425</v>
      </c>
      <c r="G7" t="s">
        <v>621</v>
      </c>
    </row>
    <row r="8" spans="1:7" x14ac:dyDescent="0.25">
      <c r="A8" t="s">
        <v>12</v>
      </c>
      <c r="E8" s="37" t="s">
        <v>426</v>
      </c>
    </row>
    <row r="9" spans="1:7" x14ac:dyDescent="0.25">
      <c r="A9" t="s">
        <v>13</v>
      </c>
    </row>
    <row r="10" spans="1:7" x14ac:dyDescent="0.25">
      <c r="A10" t="s">
        <v>30</v>
      </c>
      <c r="B10" t="s">
        <v>31</v>
      </c>
    </row>
    <row r="11" spans="1:7" x14ac:dyDescent="0.25">
      <c r="A11" t="s">
        <v>37</v>
      </c>
      <c r="B11" t="s">
        <v>38</v>
      </c>
    </row>
    <row r="12" spans="1:7" x14ac:dyDescent="0.25">
      <c r="A12" t="s">
        <v>49</v>
      </c>
      <c r="B12" t="s">
        <v>162</v>
      </c>
    </row>
    <row r="13" spans="1:7" x14ac:dyDescent="0.25">
      <c r="A13" t="s">
        <v>50</v>
      </c>
      <c r="B13" t="s">
        <v>86</v>
      </c>
    </row>
    <row r="14" spans="1:7" x14ac:dyDescent="0.25">
      <c r="A14" t="s">
        <v>60</v>
      </c>
      <c r="B14" t="s">
        <v>61</v>
      </c>
    </row>
    <row r="15" spans="1:7" x14ac:dyDescent="0.25">
      <c r="A15" t="s">
        <v>76</v>
      </c>
    </row>
    <row r="16" spans="1:7" x14ac:dyDescent="0.25">
      <c r="A16" t="s">
        <v>88</v>
      </c>
      <c r="B16" t="s">
        <v>89</v>
      </c>
    </row>
    <row r="17" spans="1:2" x14ac:dyDescent="0.25">
      <c r="A17" t="s">
        <v>106</v>
      </c>
      <c r="B17" t="s">
        <v>107</v>
      </c>
    </row>
    <row r="18" spans="1:2" x14ac:dyDescent="0.25">
      <c r="A18" t="s">
        <v>128</v>
      </c>
    </row>
    <row r="19" spans="1:2" x14ac:dyDescent="0.25">
      <c r="A19" t="s">
        <v>149</v>
      </c>
    </row>
    <row r="20" spans="1:2" x14ac:dyDescent="0.25">
      <c r="A20" t="s">
        <v>156</v>
      </c>
      <c r="B20" t="s">
        <v>157</v>
      </c>
    </row>
    <row r="21" spans="1:2" x14ac:dyDescent="0.25">
      <c r="A21" t="s">
        <v>168</v>
      </c>
    </row>
    <row r="22" spans="1:2" x14ac:dyDescent="0.25">
      <c r="A22" t="s">
        <v>173</v>
      </c>
      <c r="B22" t="s">
        <v>174</v>
      </c>
    </row>
    <row r="23" spans="1:2" x14ac:dyDescent="0.25">
      <c r="A23" t="s">
        <v>221</v>
      </c>
      <c r="B23" t="s">
        <v>222</v>
      </c>
    </row>
    <row r="24" spans="1:2" x14ac:dyDescent="0.25">
      <c r="A24" t="s">
        <v>330</v>
      </c>
      <c r="B24" t="s">
        <v>331</v>
      </c>
    </row>
    <row r="25" spans="1:2" x14ac:dyDescent="0.25">
      <c r="A25" t="s">
        <v>535</v>
      </c>
      <c r="B25" t="s">
        <v>536</v>
      </c>
    </row>
  </sheetData>
  <phoneticPr fontId="1" type="noConversion"/>
  <hyperlinks>
    <hyperlink ref="E8" r:id="rId1" xr:uid="{820DF5CE-C908-46DB-ABD8-2B92BEA394FF}"/>
  </hyperlinks>
  <pageMargins left="0.7" right="0.7" top="0.75" bottom="0.75" header="0.3" footer="0.3"/>
  <pageSetup paperSize="9" orientation="portrait" horizontalDpi="360" verticalDpi="360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2F509-4DED-4D28-A581-F1D5F7720C90}">
  <sheetPr codeName="工作表4" filterMode="1"/>
  <dimension ref="A1:K222"/>
  <sheetViews>
    <sheetView zoomScaleNormal="100" workbookViewId="0">
      <pane ySplit="1" topLeftCell="A8" activePane="bottomLeft" state="frozen"/>
      <selection pane="bottomLeft" activeCell="B25" sqref="B25"/>
    </sheetView>
  </sheetViews>
  <sheetFormatPr defaultRowHeight="15.75" x14ac:dyDescent="0.25"/>
  <cols>
    <col min="1" max="1" width="17.7109375" bestFit="1" customWidth="1"/>
    <col min="2" max="2" width="55.28515625" bestFit="1" customWidth="1"/>
    <col min="3" max="3" width="9.42578125" bestFit="1" customWidth="1"/>
    <col min="4" max="4" width="18.42578125" style="2" bestFit="1" customWidth="1"/>
    <col min="5" max="5" width="13.42578125" style="38" bestFit="1" customWidth="1"/>
    <col min="6" max="6" width="13.42578125" style="2" customWidth="1"/>
    <col min="7" max="7" width="15.42578125" style="2" bestFit="1" customWidth="1"/>
    <col min="8" max="8" width="15.42578125" style="2" customWidth="1"/>
    <col min="9" max="9" width="13.28515625" bestFit="1" customWidth="1"/>
  </cols>
  <sheetData>
    <row r="1" spans="1:11" x14ac:dyDescent="0.25">
      <c r="A1" s="14" t="s">
        <v>98</v>
      </c>
      <c r="B1" s="12" t="s">
        <v>0</v>
      </c>
      <c r="C1" s="12" t="s">
        <v>19</v>
      </c>
      <c r="D1" s="5" t="s">
        <v>16</v>
      </c>
      <c r="E1" s="39" t="s">
        <v>99</v>
      </c>
      <c r="F1" s="5" t="s">
        <v>100</v>
      </c>
      <c r="G1" s="5" t="s">
        <v>160</v>
      </c>
      <c r="H1" s="5" t="s">
        <v>691</v>
      </c>
      <c r="I1" s="5" t="s">
        <v>101</v>
      </c>
    </row>
    <row r="2" spans="1:11" x14ac:dyDescent="0.25">
      <c r="A2" s="11" t="s">
        <v>712</v>
      </c>
      <c r="B2" t="s">
        <v>625</v>
      </c>
      <c r="C2" t="s">
        <v>12</v>
      </c>
      <c r="D2" s="2">
        <v>24</v>
      </c>
      <c r="E2">
        <v>4</v>
      </c>
      <c r="F2" s="2">
        <v>96</v>
      </c>
      <c r="G2" s="2">
        <v>0</v>
      </c>
      <c r="H2" s="46">
        <f>F2/I$2</f>
        <v>1.6455741768272299E-2</v>
      </c>
      <c r="I2" s="27">
        <f>SUM(F:F)</f>
        <v>5833.8300000000008</v>
      </c>
    </row>
    <row r="3" spans="1:11" x14ac:dyDescent="0.25">
      <c r="A3" s="23" t="s">
        <v>167</v>
      </c>
      <c r="B3" t="s">
        <v>278</v>
      </c>
      <c r="C3" t="s">
        <v>12</v>
      </c>
      <c r="D3" s="2">
        <v>8</v>
      </c>
      <c r="E3">
        <v>7</v>
      </c>
      <c r="F3" s="2">
        <v>56</v>
      </c>
      <c r="G3" s="2">
        <v>34</v>
      </c>
      <c r="H3" s="46">
        <f t="shared" ref="H3:H57" si="0">F3/I$2</f>
        <v>9.599182698158841E-3</v>
      </c>
    </row>
    <row r="4" spans="1:11" x14ac:dyDescent="0.25">
      <c r="A4" s="25">
        <f>COUNTA(MAIN!A:A)</f>
        <v>266</v>
      </c>
      <c r="B4" t="s">
        <v>628</v>
      </c>
      <c r="C4" t="s">
        <v>12</v>
      </c>
      <c r="D4" s="2">
        <v>13</v>
      </c>
      <c r="E4">
        <v>4</v>
      </c>
      <c r="F4" s="2">
        <v>52</v>
      </c>
      <c r="G4" s="2">
        <v>0</v>
      </c>
      <c r="H4" s="46">
        <f t="shared" si="0"/>
        <v>8.9135267911474945E-3</v>
      </c>
    </row>
    <row r="5" spans="1:11" x14ac:dyDescent="0.25">
      <c r="B5" t="s">
        <v>631</v>
      </c>
      <c r="C5" t="s">
        <v>12</v>
      </c>
      <c r="D5" s="2">
        <v>25</v>
      </c>
      <c r="E5">
        <v>2</v>
      </c>
      <c r="F5" s="2">
        <v>50</v>
      </c>
      <c r="G5" s="2">
        <v>0</v>
      </c>
      <c r="H5" s="46">
        <f t="shared" si="0"/>
        <v>8.5706988376418221E-3</v>
      </c>
      <c r="K5" s="35"/>
    </row>
    <row r="6" spans="1:11" x14ac:dyDescent="0.25">
      <c r="B6" t="s">
        <v>620</v>
      </c>
      <c r="C6" t="s">
        <v>12</v>
      </c>
      <c r="D6" s="2">
        <v>8</v>
      </c>
      <c r="E6">
        <v>4</v>
      </c>
      <c r="F6" s="2">
        <v>32</v>
      </c>
      <c r="G6" s="2">
        <v>0</v>
      </c>
      <c r="H6" s="46">
        <f t="shared" si="0"/>
        <v>5.4852472560907662E-3</v>
      </c>
    </row>
    <row r="7" spans="1:11" x14ac:dyDescent="0.25">
      <c r="B7" t="s">
        <v>633</v>
      </c>
      <c r="C7" t="s">
        <v>12</v>
      </c>
      <c r="D7" s="2">
        <v>3</v>
      </c>
      <c r="E7">
        <v>8</v>
      </c>
      <c r="F7" s="2">
        <v>24</v>
      </c>
      <c r="G7" s="2">
        <v>0</v>
      </c>
      <c r="H7" s="46">
        <f t="shared" si="0"/>
        <v>4.1139354420680748E-3</v>
      </c>
    </row>
    <row r="8" spans="1:11" x14ac:dyDescent="0.25">
      <c r="A8" s="25"/>
      <c r="B8" t="s">
        <v>635</v>
      </c>
      <c r="C8" t="s">
        <v>12</v>
      </c>
      <c r="D8" s="2">
        <v>3</v>
      </c>
      <c r="E8">
        <v>4</v>
      </c>
      <c r="F8" s="2">
        <v>12</v>
      </c>
      <c r="G8" s="2">
        <v>0</v>
      </c>
      <c r="H8" s="46">
        <f t="shared" si="0"/>
        <v>2.0569677210340374E-3</v>
      </c>
    </row>
    <row r="9" spans="1:11" x14ac:dyDescent="0.25">
      <c r="B9" t="s">
        <v>629</v>
      </c>
      <c r="C9" t="s">
        <v>12</v>
      </c>
      <c r="D9" s="2">
        <v>10</v>
      </c>
      <c r="E9">
        <v>1</v>
      </c>
      <c r="F9" s="2">
        <v>10</v>
      </c>
      <c r="G9" s="2">
        <v>0</v>
      </c>
      <c r="H9" s="46">
        <f t="shared" si="0"/>
        <v>1.7141397675283646E-3</v>
      </c>
    </row>
    <row r="10" spans="1:11" x14ac:dyDescent="0.25">
      <c r="B10" t="s">
        <v>78</v>
      </c>
      <c r="C10" t="s">
        <v>12</v>
      </c>
      <c r="D10" s="2">
        <v>3</v>
      </c>
      <c r="E10">
        <v>2</v>
      </c>
      <c r="F10" s="2">
        <v>6</v>
      </c>
      <c r="G10" s="2">
        <v>0</v>
      </c>
      <c r="H10" s="46">
        <f t="shared" si="0"/>
        <v>1.0284838605170187E-3</v>
      </c>
    </row>
    <row r="11" spans="1:11" x14ac:dyDescent="0.25">
      <c r="B11" t="s">
        <v>193</v>
      </c>
      <c r="C11" t="s">
        <v>12</v>
      </c>
      <c r="D11" s="2">
        <v>6</v>
      </c>
      <c r="E11">
        <v>1</v>
      </c>
      <c r="F11" s="2">
        <v>6</v>
      </c>
      <c r="G11" s="2">
        <v>0</v>
      </c>
      <c r="H11" s="46">
        <f t="shared" si="0"/>
        <v>1.0284838605170187E-3</v>
      </c>
    </row>
    <row r="12" spans="1:11" x14ac:dyDescent="0.25">
      <c r="B12" t="s">
        <v>643</v>
      </c>
      <c r="C12" t="s">
        <v>12</v>
      </c>
      <c r="D12" s="2">
        <v>75</v>
      </c>
      <c r="E12">
        <v>0</v>
      </c>
      <c r="F12" s="2">
        <v>0</v>
      </c>
      <c r="G12" s="2">
        <v>0</v>
      </c>
      <c r="H12" s="46">
        <f t="shared" si="0"/>
        <v>0</v>
      </c>
    </row>
    <row r="13" spans="1:11" x14ac:dyDescent="0.25">
      <c r="B13" t="s">
        <v>94</v>
      </c>
      <c r="C13" t="s">
        <v>88</v>
      </c>
      <c r="D13" s="2">
        <v>9</v>
      </c>
      <c r="E13">
        <v>3</v>
      </c>
      <c r="F13" s="2">
        <v>27</v>
      </c>
      <c r="G13" s="2">
        <v>52</v>
      </c>
      <c r="H13" s="46">
        <f t="shared" si="0"/>
        <v>4.6281773723265843E-3</v>
      </c>
    </row>
    <row r="14" spans="1:11" x14ac:dyDescent="0.25">
      <c r="B14" t="s">
        <v>96</v>
      </c>
      <c r="C14" t="s">
        <v>88</v>
      </c>
      <c r="D14" s="2">
        <v>13.5</v>
      </c>
      <c r="E14">
        <v>2</v>
      </c>
      <c r="F14" s="2">
        <v>27</v>
      </c>
      <c r="G14" s="2">
        <v>28</v>
      </c>
      <c r="H14" s="46">
        <f t="shared" si="0"/>
        <v>4.6281773723265843E-3</v>
      </c>
    </row>
    <row r="15" spans="1:11" x14ac:dyDescent="0.25">
      <c r="B15" t="s">
        <v>137</v>
      </c>
      <c r="C15" t="s">
        <v>60</v>
      </c>
      <c r="D15" s="2">
        <v>10.8</v>
      </c>
      <c r="E15">
        <v>1</v>
      </c>
      <c r="F15" s="2">
        <v>10.8</v>
      </c>
      <c r="G15" s="2">
        <v>8</v>
      </c>
      <c r="H15" s="46">
        <f t="shared" si="0"/>
        <v>1.8512709489306339E-3</v>
      </c>
    </row>
    <row r="16" spans="1:11" x14ac:dyDescent="0.25">
      <c r="B16" t="s">
        <v>33</v>
      </c>
      <c r="C16" t="s">
        <v>30</v>
      </c>
      <c r="D16" s="2">
        <v>1421</v>
      </c>
      <c r="E16">
        <v>1</v>
      </c>
      <c r="F16" s="2">
        <v>1421</v>
      </c>
      <c r="G16" s="2">
        <v>9</v>
      </c>
      <c r="H16" s="46">
        <f>F16/I$2</f>
        <v>0.24357926096578059</v>
      </c>
    </row>
    <row r="17" spans="2:8" x14ac:dyDescent="0.25">
      <c r="B17" t="s">
        <v>114</v>
      </c>
      <c r="C17" t="s">
        <v>30</v>
      </c>
      <c r="D17" s="2">
        <v>701</v>
      </c>
      <c r="E17">
        <v>1</v>
      </c>
      <c r="F17" s="2">
        <v>701</v>
      </c>
      <c r="G17" s="2">
        <v>9</v>
      </c>
      <c r="H17" s="46">
        <f t="shared" si="0"/>
        <v>0.12016119770373836</v>
      </c>
    </row>
    <row r="18" spans="2:8" x14ac:dyDescent="0.25">
      <c r="B18" t="s">
        <v>639</v>
      </c>
      <c r="C18" t="s">
        <v>13</v>
      </c>
      <c r="D18" s="2">
        <v>75.3</v>
      </c>
      <c r="E18">
        <v>1</v>
      </c>
      <c r="F18" s="2">
        <v>75.3</v>
      </c>
      <c r="G18" s="2">
        <v>7</v>
      </c>
      <c r="H18" s="46">
        <f t="shared" si="0"/>
        <v>1.2907472449488583E-2</v>
      </c>
    </row>
    <row r="19" spans="2:8" x14ac:dyDescent="0.25">
      <c r="B19" t="s">
        <v>637</v>
      </c>
      <c r="C19" t="s">
        <v>13</v>
      </c>
      <c r="D19" s="2">
        <v>20.96</v>
      </c>
      <c r="E19">
        <v>1</v>
      </c>
      <c r="F19" s="2">
        <v>20.96</v>
      </c>
      <c r="G19" s="2">
        <v>7</v>
      </c>
      <c r="H19" s="46">
        <f t="shared" si="0"/>
        <v>3.5928369527394523E-3</v>
      </c>
    </row>
    <row r="20" spans="2:8" x14ac:dyDescent="0.25">
      <c r="B20" t="s">
        <v>54</v>
      </c>
      <c r="C20" t="s">
        <v>7</v>
      </c>
      <c r="D20" s="2">
        <v>13.44</v>
      </c>
      <c r="E20">
        <v>1</v>
      </c>
      <c r="F20" s="2">
        <v>13.44</v>
      </c>
      <c r="G20" s="2">
        <v>15</v>
      </c>
      <c r="H20" s="46">
        <f t="shared" si="0"/>
        <v>2.3038038475581219E-3</v>
      </c>
    </row>
    <row r="21" spans="2:8" x14ac:dyDescent="0.25">
      <c r="B21" t="s">
        <v>129</v>
      </c>
      <c r="C21" t="s">
        <v>128</v>
      </c>
      <c r="D21" s="2">
        <v>6.3</v>
      </c>
      <c r="E21">
        <v>4</v>
      </c>
      <c r="F21" s="2">
        <v>25.2</v>
      </c>
      <c r="G21" s="2">
        <v>8</v>
      </c>
      <c r="H21" s="46">
        <f t="shared" si="0"/>
        <v>4.3196322141714786E-3</v>
      </c>
    </row>
    <row r="22" spans="2:8" hidden="1" x14ac:dyDescent="0.25">
      <c r="B22" t="s">
        <v>224</v>
      </c>
      <c r="C22" t="s">
        <v>12</v>
      </c>
      <c r="D22" s="2">
        <v>3</v>
      </c>
      <c r="E22">
        <v>2</v>
      </c>
      <c r="F22" s="2">
        <v>6</v>
      </c>
      <c r="G22" s="2">
        <v>0</v>
      </c>
      <c r="H22" s="46">
        <f t="shared" si="0"/>
        <v>1.0284838605170187E-3</v>
      </c>
    </row>
    <row r="23" spans="2:8" x14ac:dyDescent="0.25">
      <c r="B23" t="s">
        <v>51</v>
      </c>
      <c r="C23" t="s">
        <v>49</v>
      </c>
      <c r="D23" s="2">
        <v>32</v>
      </c>
      <c r="E23">
        <v>1</v>
      </c>
      <c r="F23" s="2">
        <v>32</v>
      </c>
      <c r="G23" s="2">
        <v>3</v>
      </c>
      <c r="H23" s="46">
        <f t="shared" si="0"/>
        <v>5.4852472560907662E-3</v>
      </c>
    </row>
    <row r="24" spans="2:8" x14ac:dyDescent="0.25">
      <c r="B24" t="s">
        <v>267</v>
      </c>
      <c r="C24" t="s">
        <v>75</v>
      </c>
      <c r="D24" s="2">
        <v>8.61</v>
      </c>
      <c r="E24">
        <v>3</v>
      </c>
      <c r="F24" s="2">
        <v>25.83</v>
      </c>
      <c r="G24" s="2">
        <v>82</v>
      </c>
      <c r="H24" s="46">
        <f t="shared" si="0"/>
        <v>4.427623019525765E-3</v>
      </c>
    </row>
    <row r="25" spans="2:8" x14ac:dyDescent="0.25">
      <c r="B25" t="s">
        <v>108</v>
      </c>
      <c r="C25" t="s">
        <v>106</v>
      </c>
      <c r="D25" s="2">
        <v>18.3</v>
      </c>
      <c r="E25">
        <v>1</v>
      </c>
      <c r="F25" s="2">
        <v>18.3</v>
      </c>
      <c r="G25" s="2">
        <v>3</v>
      </c>
      <c r="H25" s="46">
        <f t="shared" si="0"/>
        <v>3.1368757745769073E-3</v>
      </c>
    </row>
    <row r="26" spans="2:8" x14ac:dyDescent="0.25">
      <c r="B26" t="s">
        <v>228</v>
      </c>
      <c r="C26" t="s">
        <v>50</v>
      </c>
      <c r="D26" s="2">
        <v>74.16</v>
      </c>
      <c r="E26">
        <v>1</v>
      </c>
      <c r="F26" s="2">
        <v>74.16</v>
      </c>
      <c r="G26" s="2">
        <v>159</v>
      </c>
      <c r="H26" s="46">
        <f>F26/I$2</f>
        <v>1.271206051599035E-2</v>
      </c>
    </row>
    <row r="27" spans="2:8" x14ac:dyDescent="0.25">
      <c r="B27" t="s">
        <v>135</v>
      </c>
      <c r="C27" t="s">
        <v>50</v>
      </c>
      <c r="D27" s="2">
        <v>14.1</v>
      </c>
      <c r="E27">
        <v>1</v>
      </c>
      <c r="F27" s="2">
        <v>14.1</v>
      </c>
      <c r="G27" s="2">
        <v>8</v>
      </c>
      <c r="H27" s="46">
        <f t="shared" si="0"/>
        <v>2.416937072214994E-3</v>
      </c>
    </row>
    <row r="28" spans="2:8" x14ac:dyDescent="0.25">
      <c r="B28" t="s">
        <v>618</v>
      </c>
      <c r="C28" t="s">
        <v>5</v>
      </c>
      <c r="D28" s="2">
        <v>523.79999999999995</v>
      </c>
      <c r="E28">
        <v>2</v>
      </c>
      <c r="F28" s="2">
        <v>1047.5999999999999</v>
      </c>
      <c r="G28" s="2">
        <v>4</v>
      </c>
      <c r="H28" s="46">
        <f t="shared" si="0"/>
        <v>0.17957328204627146</v>
      </c>
    </row>
    <row r="29" spans="2:8" x14ac:dyDescent="0.25">
      <c r="B29" t="s">
        <v>616</v>
      </c>
      <c r="C29" t="s">
        <v>5</v>
      </c>
      <c r="D29" s="2">
        <v>740</v>
      </c>
      <c r="E29">
        <v>1</v>
      </c>
      <c r="F29" s="2">
        <v>740</v>
      </c>
      <c r="G29" s="2">
        <v>0</v>
      </c>
      <c r="H29" s="46">
        <f t="shared" si="0"/>
        <v>0.12684634279709897</v>
      </c>
    </row>
    <row r="30" spans="2:8" x14ac:dyDescent="0.25">
      <c r="B30" t="s">
        <v>131</v>
      </c>
      <c r="C30" t="s">
        <v>11</v>
      </c>
      <c r="D30" s="2">
        <v>3</v>
      </c>
      <c r="E30">
        <v>4</v>
      </c>
      <c r="F30" s="2">
        <v>12</v>
      </c>
      <c r="G30" s="2">
        <v>0</v>
      </c>
      <c r="H30" s="46">
        <f t="shared" si="0"/>
        <v>2.0569677210340374E-3</v>
      </c>
    </row>
    <row r="31" spans="2:8" x14ac:dyDescent="0.25">
      <c r="B31" t="s">
        <v>121</v>
      </c>
      <c r="C31" t="s">
        <v>11</v>
      </c>
      <c r="D31" s="2">
        <v>4</v>
      </c>
      <c r="E31">
        <v>2</v>
      </c>
      <c r="F31" s="2">
        <v>8</v>
      </c>
      <c r="G31" s="2">
        <v>0</v>
      </c>
      <c r="H31" s="46">
        <f t="shared" si="0"/>
        <v>1.3713118140226915E-3</v>
      </c>
    </row>
    <row r="32" spans="2:8" x14ac:dyDescent="0.25">
      <c r="B32" t="s">
        <v>195</v>
      </c>
      <c r="C32" t="s">
        <v>11</v>
      </c>
      <c r="D32" s="2">
        <v>3</v>
      </c>
      <c r="E32">
        <v>2</v>
      </c>
      <c r="F32" s="2">
        <v>6</v>
      </c>
      <c r="G32" s="2">
        <v>0</v>
      </c>
      <c r="H32" s="46">
        <f t="shared" si="0"/>
        <v>1.0284838605170187E-3</v>
      </c>
    </row>
    <row r="33" spans="1:8" x14ac:dyDescent="0.25">
      <c r="B33" t="s">
        <v>119</v>
      </c>
      <c r="C33" t="s">
        <v>11</v>
      </c>
      <c r="D33" s="2">
        <v>4</v>
      </c>
      <c r="E33">
        <v>1</v>
      </c>
      <c r="F33" s="2">
        <v>4</v>
      </c>
      <c r="G33" s="2">
        <v>0</v>
      </c>
      <c r="H33" s="46">
        <f t="shared" si="0"/>
        <v>6.8565590701134577E-4</v>
      </c>
    </row>
    <row r="34" spans="1:8" x14ac:dyDescent="0.25">
      <c r="B34" t="s">
        <v>197</v>
      </c>
      <c r="C34" t="s">
        <v>11</v>
      </c>
      <c r="D34" s="2">
        <v>3</v>
      </c>
      <c r="E34">
        <v>1</v>
      </c>
      <c r="F34" s="2">
        <v>3</v>
      </c>
      <c r="G34" s="2">
        <v>0</v>
      </c>
      <c r="H34" s="46">
        <f t="shared" si="0"/>
        <v>5.1424193025850936E-4</v>
      </c>
    </row>
    <row r="35" spans="1:8" x14ac:dyDescent="0.25">
      <c r="B35" t="s">
        <v>641</v>
      </c>
      <c r="C35" t="s">
        <v>11</v>
      </c>
      <c r="D35" s="2">
        <v>3</v>
      </c>
      <c r="E35">
        <v>1</v>
      </c>
      <c r="F35" s="2">
        <v>3</v>
      </c>
      <c r="G35" s="2">
        <v>0</v>
      </c>
      <c r="H35" s="46">
        <f t="shared" si="0"/>
        <v>5.1424193025850936E-4</v>
      </c>
    </row>
    <row r="36" spans="1:8" x14ac:dyDescent="0.25">
      <c r="B36" t="s">
        <v>644</v>
      </c>
      <c r="C36" t="s">
        <v>11</v>
      </c>
      <c r="D36" s="2">
        <v>3</v>
      </c>
      <c r="E36">
        <v>1</v>
      </c>
      <c r="F36" s="2">
        <v>3</v>
      </c>
      <c r="G36" s="2">
        <v>0</v>
      </c>
      <c r="H36" s="46">
        <f t="shared" si="0"/>
        <v>5.1424193025850936E-4</v>
      </c>
    </row>
    <row r="37" spans="1:8" x14ac:dyDescent="0.25">
      <c r="B37" t="s">
        <v>610</v>
      </c>
      <c r="C37" t="s">
        <v>37</v>
      </c>
      <c r="D37" s="2">
        <v>170</v>
      </c>
      <c r="E37">
        <v>2</v>
      </c>
      <c r="F37" s="2">
        <v>340</v>
      </c>
      <c r="G37" s="2">
        <v>9</v>
      </c>
      <c r="H37" s="46">
        <f t="shared" si="0"/>
        <v>5.8280752095964394E-2</v>
      </c>
    </row>
    <row r="38" spans="1:8" x14ac:dyDescent="0.25">
      <c r="A38" s="26"/>
      <c r="B38" t="s">
        <v>144</v>
      </c>
      <c r="C38" t="s">
        <v>37</v>
      </c>
      <c r="D38" s="2">
        <v>97</v>
      </c>
      <c r="E38">
        <v>1</v>
      </c>
      <c r="F38" s="2">
        <v>97</v>
      </c>
      <c r="G38" s="2">
        <v>4</v>
      </c>
      <c r="H38" s="46">
        <f t="shared" si="0"/>
        <v>1.6627155745025136E-2</v>
      </c>
    </row>
    <row r="39" spans="1:8" x14ac:dyDescent="0.25">
      <c r="B39" t="s">
        <v>614</v>
      </c>
      <c r="C39" t="s">
        <v>37</v>
      </c>
      <c r="D39" s="2">
        <v>65.5</v>
      </c>
      <c r="E39">
        <v>1</v>
      </c>
      <c r="F39" s="2">
        <v>65.5</v>
      </c>
      <c r="G39" s="2">
        <v>2</v>
      </c>
      <c r="H39" s="46">
        <f>F39/I$2</f>
        <v>1.1227615477310788E-2</v>
      </c>
    </row>
    <row r="40" spans="1:8" x14ac:dyDescent="0.25">
      <c r="B40" t="s">
        <v>125</v>
      </c>
      <c r="C40" t="s">
        <v>126</v>
      </c>
      <c r="D40" s="2">
        <v>20</v>
      </c>
      <c r="E40">
        <v>1</v>
      </c>
      <c r="F40" s="2">
        <v>20</v>
      </c>
      <c r="G40" s="2">
        <v>0</v>
      </c>
      <c r="H40" s="46">
        <f t="shared" si="0"/>
        <v>3.4282795350567292E-3</v>
      </c>
    </row>
    <row r="41" spans="1:8" hidden="1" x14ac:dyDescent="0.25">
      <c r="A41" s="24"/>
      <c r="B41" t="s">
        <v>646</v>
      </c>
      <c r="C41" t="s">
        <v>12</v>
      </c>
      <c r="D41" s="2">
        <v>66.7</v>
      </c>
      <c r="E41">
        <v>4</v>
      </c>
      <c r="F41" s="2">
        <v>266.8</v>
      </c>
      <c r="G41" s="2">
        <v>2</v>
      </c>
      <c r="H41" s="46">
        <f t="shared" si="0"/>
        <v>4.5733248997656767E-2</v>
      </c>
    </row>
    <row r="42" spans="1:8" hidden="1" x14ac:dyDescent="0.25">
      <c r="B42" t="s">
        <v>648</v>
      </c>
      <c r="C42" t="s">
        <v>11</v>
      </c>
      <c r="D42" s="2">
        <v>3</v>
      </c>
      <c r="E42" s="41">
        <v>1</v>
      </c>
      <c r="F42" s="2">
        <v>3</v>
      </c>
      <c r="G42" s="2">
        <v>0</v>
      </c>
      <c r="H42" s="46">
        <f t="shared" si="0"/>
        <v>5.1424193025850936E-4</v>
      </c>
    </row>
    <row r="43" spans="1:8" hidden="1" x14ac:dyDescent="0.25">
      <c r="B43" t="s">
        <v>650</v>
      </c>
      <c r="C43" t="s">
        <v>11</v>
      </c>
      <c r="D43" s="2">
        <v>4</v>
      </c>
      <c r="E43">
        <v>1</v>
      </c>
      <c r="F43" s="2">
        <v>4</v>
      </c>
      <c r="G43" s="2">
        <v>0</v>
      </c>
      <c r="H43" s="46">
        <f t="shared" si="0"/>
        <v>6.8565590701134577E-4</v>
      </c>
    </row>
    <row r="44" spans="1:8" hidden="1" x14ac:dyDescent="0.25">
      <c r="B44" t="s">
        <v>652</v>
      </c>
      <c r="C44" t="s">
        <v>11</v>
      </c>
      <c r="D44" s="2">
        <v>3</v>
      </c>
      <c r="E44">
        <v>1</v>
      </c>
      <c r="F44" s="2">
        <v>3</v>
      </c>
      <c r="G44" s="2">
        <v>0</v>
      </c>
      <c r="H44" s="46">
        <f t="shared" si="0"/>
        <v>5.1424193025850936E-4</v>
      </c>
    </row>
    <row r="45" spans="1:8" hidden="1" x14ac:dyDescent="0.25">
      <c r="B45" t="s">
        <v>654</v>
      </c>
      <c r="C45" t="s">
        <v>11</v>
      </c>
      <c r="D45" s="2">
        <v>3</v>
      </c>
      <c r="E45" s="41">
        <v>1</v>
      </c>
      <c r="F45" s="2">
        <v>3</v>
      </c>
      <c r="G45" s="2">
        <v>0</v>
      </c>
      <c r="H45" s="46">
        <f t="shared" si="0"/>
        <v>5.1424193025850936E-4</v>
      </c>
    </row>
    <row r="46" spans="1:8" hidden="1" x14ac:dyDescent="0.25">
      <c r="B46" t="s">
        <v>656</v>
      </c>
      <c r="C46" t="s">
        <v>11</v>
      </c>
      <c r="D46" s="2">
        <v>3</v>
      </c>
      <c r="E46">
        <v>1</v>
      </c>
      <c r="F46" s="2">
        <v>3</v>
      </c>
      <c r="G46" s="2">
        <v>0</v>
      </c>
      <c r="H46" s="46">
        <f t="shared" si="0"/>
        <v>5.1424193025850936E-4</v>
      </c>
    </row>
    <row r="47" spans="1:8" hidden="1" x14ac:dyDescent="0.25">
      <c r="B47" t="s">
        <v>657</v>
      </c>
      <c r="C47" t="s">
        <v>11</v>
      </c>
      <c r="D47" s="2">
        <v>4</v>
      </c>
      <c r="E47">
        <v>1</v>
      </c>
      <c r="F47" s="2">
        <v>4</v>
      </c>
      <c r="G47" s="2">
        <v>0</v>
      </c>
      <c r="H47" s="46">
        <f t="shared" si="0"/>
        <v>6.8565590701134577E-4</v>
      </c>
    </row>
    <row r="48" spans="1:8" hidden="1" x14ac:dyDescent="0.25">
      <c r="B48" t="s">
        <v>660</v>
      </c>
      <c r="C48" t="s">
        <v>11</v>
      </c>
      <c r="D48" s="2">
        <v>3</v>
      </c>
      <c r="E48">
        <v>2</v>
      </c>
      <c r="F48" s="2">
        <v>6</v>
      </c>
      <c r="G48" s="2">
        <v>0</v>
      </c>
      <c r="H48" s="46">
        <f t="shared" si="0"/>
        <v>1.0284838605170187E-3</v>
      </c>
    </row>
    <row r="49" spans="2:8" hidden="1" x14ac:dyDescent="0.25">
      <c r="B49" t="s">
        <v>662</v>
      </c>
      <c r="C49" t="s">
        <v>60</v>
      </c>
      <c r="D49" s="2">
        <v>15</v>
      </c>
      <c r="E49">
        <v>1</v>
      </c>
      <c r="F49" s="2">
        <v>15</v>
      </c>
      <c r="G49" s="2">
        <v>0</v>
      </c>
      <c r="H49" s="46">
        <f t="shared" si="0"/>
        <v>2.5712096512925469E-3</v>
      </c>
    </row>
    <row r="50" spans="2:8" hidden="1" x14ac:dyDescent="0.25">
      <c r="B50" t="s">
        <v>664</v>
      </c>
      <c r="C50" t="s">
        <v>37</v>
      </c>
      <c r="D50" s="2">
        <v>84.52</v>
      </c>
      <c r="E50">
        <v>2</v>
      </c>
      <c r="F50" s="2">
        <v>169.04</v>
      </c>
      <c r="G50" s="2">
        <v>9</v>
      </c>
      <c r="H50" s="46">
        <f t="shared" si="0"/>
        <v>2.8975818630299473E-2</v>
      </c>
    </row>
    <row r="51" spans="2:8" hidden="1" x14ac:dyDescent="0.25">
      <c r="B51" t="s">
        <v>669</v>
      </c>
      <c r="C51" t="s">
        <v>12</v>
      </c>
      <c r="D51" s="2">
        <v>8</v>
      </c>
      <c r="E51">
        <v>1</v>
      </c>
      <c r="F51" s="2">
        <v>8</v>
      </c>
      <c r="G51" s="2">
        <v>0</v>
      </c>
      <c r="H51" s="46">
        <f t="shared" si="0"/>
        <v>1.3713118140226915E-3</v>
      </c>
    </row>
    <row r="52" spans="2:8" hidden="1" x14ac:dyDescent="0.25">
      <c r="B52" t="s">
        <v>671</v>
      </c>
      <c r="C52" t="s">
        <v>12</v>
      </c>
      <c r="D52" s="2">
        <v>3</v>
      </c>
      <c r="E52">
        <v>1</v>
      </c>
      <c r="F52" s="2">
        <v>3</v>
      </c>
      <c r="G52" s="2">
        <v>0</v>
      </c>
      <c r="H52" s="46">
        <f t="shared" si="0"/>
        <v>5.1424193025850936E-4</v>
      </c>
    </row>
    <row r="53" spans="2:8" hidden="1" x14ac:dyDescent="0.25">
      <c r="B53" t="s">
        <v>676</v>
      </c>
      <c r="C53" t="s">
        <v>88</v>
      </c>
      <c r="D53" s="2">
        <v>18</v>
      </c>
      <c r="E53" s="40">
        <v>3</v>
      </c>
      <c r="F53" s="2">
        <v>54</v>
      </c>
      <c r="G53" s="2">
        <v>16</v>
      </c>
      <c r="H53" s="46">
        <f>F53/I$2</f>
        <v>9.2563547446531686E-3</v>
      </c>
    </row>
    <row r="54" spans="2:8" hidden="1" x14ac:dyDescent="0.25">
      <c r="B54" t="s">
        <v>678</v>
      </c>
      <c r="C54" t="s">
        <v>11</v>
      </c>
      <c r="D54" s="2">
        <v>3</v>
      </c>
      <c r="E54">
        <v>1</v>
      </c>
      <c r="F54" s="2">
        <v>3</v>
      </c>
      <c r="G54" s="2">
        <v>0</v>
      </c>
      <c r="H54" s="46">
        <f t="shared" si="0"/>
        <v>5.1424193025850936E-4</v>
      </c>
    </row>
    <row r="55" spans="2:8" hidden="1" x14ac:dyDescent="0.25">
      <c r="B55" t="s">
        <v>680</v>
      </c>
      <c r="C55" t="s">
        <v>11</v>
      </c>
      <c r="D55" s="2">
        <v>3</v>
      </c>
      <c r="E55">
        <v>4</v>
      </c>
      <c r="F55" s="2">
        <v>12</v>
      </c>
      <c r="G55" s="2">
        <v>0</v>
      </c>
      <c r="H55" s="46">
        <f>F55/I$2</f>
        <v>2.0569677210340374E-3</v>
      </c>
    </row>
    <row r="56" spans="2:8" hidden="1" x14ac:dyDescent="0.25">
      <c r="B56" t="s">
        <v>682</v>
      </c>
      <c r="C56" t="s">
        <v>11</v>
      </c>
      <c r="D56" s="2">
        <v>3</v>
      </c>
      <c r="E56">
        <v>1</v>
      </c>
      <c r="F56" s="2">
        <v>3</v>
      </c>
      <c r="G56" s="2">
        <v>0</v>
      </c>
      <c r="H56" s="46">
        <f t="shared" si="0"/>
        <v>5.1424193025850936E-4</v>
      </c>
    </row>
    <row r="57" spans="2:8" hidden="1" x14ac:dyDescent="0.25">
      <c r="B57" t="s">
        <v>683</v>
      </c>
      <c r="C57" t="s">
        <v>11</v>
      </c>
      <c r="D57" s="2">
        <v>3</v>
      </c>
      <c r="E57">
        <v>1</v>
      </c>
      <c r="F57" s="2">
        <v>3</v>
      </c>
      <c r="G57" s="2">
        <v>0</v>
      </c>
      <c r="H57" s="46">
        <f t="shared" si="0"/>
        <v>5.1424193025850936E-4</v>
      </c>
    </row>
    <row r="58" spans="2:8" hidden="1" x14ac:dyDescent="0.25">
      <c r="B58" t="s">
        <v>685</v>
      </c>
      <c r="C58" t="s">
        <v>11</v>
      </c>
      <c r="D58" s="2">
        <v>3</v>
      </c>
      <c r="E58">
        <v>3</v>
      </c>
      <c r="F58" s="2">
        <v>9</v>
      </c>
      <c r="G58" s="2">
        <v>0</v>
      </c>
    </row>
    <row r="59" spans="2:8" hidden="1" x14ac:dyDescent="0.25">
      <c r="B59" t="s">
        <v>687</v>
      </c>
      <c r="C59" t="s">
        <v>11</v>
      </c>
      <c r="D59" s="2">
        <v>3</v>
      </c>
      <c r="E59">
        <v>3</v>
      </c>
      <c r="F59" s="2">
        <v>9</v>
      </c>
      <c r="G59" s="2">
        <v>0</v>
      </c>
    </row>
    <row r="60" spans="2:8" hidden="1" x14ac:dyDescent="0.25">
      <c r="B60" t="s">
        <v>689</v>
      </c>
      <c r="C60" t="s">
        <v>11</v>
      </c>
      <c r="D60" s="2">
        <v>3</v>
      </c>
      <c r="E60">
        <v>2</v>
      </c>
      <c r="F60" s="2">
        <v>6</v>
      </c>
      <c r="G60" s="2">
        <v>0</v>
      </c>
    </row>
    <row r="61" spans="2:8" hidden="1" x14ac:dyDescent="0.25">
      <c r="B61" t="s">
        <v>699</v>
      </c>
      <c r="C61" t="s">
        <v>106</v>
      </c>
      <c r="D61" s="2">
        <v>61.8</v>
      </c>
      <c r="E61">
        <v>1</v>
      </c>
      <c r="F61" s="2">
        <v>61.8</v>
      </c>
      <c r="G61" s="2">
        <v>5</v>
      </c>
    </row>
    <row r="62" spans="2:8" hidden="1" x14ac:dyDescent="0.25">
      <c r="E62"/>
    </row>
    <row r="63" spans="2:8" hidden="1" x14ac:dyDescent="0.25">
      <c r="E63"/>
    </row>
    <row r="64" spans="2:8" hidden="1" x14ac:dyDescent="0.25">
      <c r="E64"/>
    </row>
    <row r="65" spans="5:5" hidden="1" x14ac:dyDescent="0.25">
      <c r="E65" s="41"/>
    </row>
    <row r="66" spans="5:5" hidden="1" x14ac:dyDescent="0.25">
      <c r="E66" s="41"/>
    </row>
    <row r="67" spans="5:5" hidden="1" x14ac:dyDescent="0.25">
      <c r="E67"/>
    </row>
    <row r="68" spans="5:5" hidden="1" x14ac:dyDescent="0.25">
      <c r="E68"/>
    </row>
    <row r="69" spans="5:5" hidden="1" x14ac:dyDescent="0.25">
      <c r="E69"/>
    </row>
    <row r="70" spans="5:5" hidden="1" x14ac:dyDescent="0.25">
      <c r="E70"/>
    </row>
    <row r="71" spans="5:5" hidden="1" x14ac:dyDescent="0.25">
      <c r="E71"/>
    </row>
    <row r="72" spans="5:5" hidden="1" x14ac:dyDescent="0.25">
      <c r="E72"/>
    </row>
    <row r="73" spans="5:5" hidden="1" x14ac:dyDescent="0.25">
      <c r="E73" s="40"/>
    </row>
    <row r="74" spans="5:5" hidden="1" x14ac:dyDescent="0.25">
      <c r="E74"/>
    </row>
    <row r="75" spans="5:5" hidden="1" x14ac:dyDescent="0.25">
      <c r="E75"/>
    </row>
    <row r="76" spans="5:5" hidden="1" x14ac:dyDescent="0.25">
      <c r="E76"/>
    </row>
    <row r="77" spans="5:5" hidden="1" x14ac:dyDescent="0.25">
      <c r="E77"/>
    </row>
    <row r="78" spans="5:5" hidden="1" x14ac:dyDescent="0.25">
      <c r="E78" s="41"/>
    </row>
    <row r="79" spans="5:5" hidden="1" x14ac:dyDescent="0.25">
      <c r="E79" s="41"/>
    </row>
    <row r="80" spans="5:5" hidden="1" x14ac:dyDescent="0.25">
      <c r="E80"/>
    </row>
    <row r="81" spans="5:5" hidden="1" x14ac:dyDescent="0.25">
      <c r="E81"/>
    </row>
    <row r="82" spans="5:5" hidden="1" x14ac:dyDescent="0.25">
      <c r="E82"/>
    </row>
    <row r="83" spans="5:5" hidden="1" x14ac:dyDescent="0.25">
      <c r="E83"/>
    </row>
    <row r="84" spans="5:5" hidden="1" x14ac:dyDescent="0.25">
      <c r="E84"/>
    </row>
    <row r="85" spans="5:5" hidden="1" x14ac:dyDescent="0.25">
      <c r="E85"/>
    </row>
    <row r="86" spans="5:5" hidden="1" x14ac:dyDescent="0.25">
      <c r="E86"/>
    </row>
    <row r="87" spans="5:5" hidden="1" x14ac:dyDescent="0.25">
      <c r="E87"/>
    </row>
    <row r="88" spans="5:5" hidden="1" x14ac:dyDescent="0.25">
      <c r="E88"/>
    </row>
    <row r="89" spans="5:5" hidden="1" x14ac:dyDescent="0.25">
      <c r="E89"/>
    </row>
    <row r="90" spans="5:5" hidden="1" x14ac:dyDescent="0.25">
      <c r="E90"/>
    </row>
    <row r="91" spans="5:5" hidden="1" x14ac:dyDescent="0.25">
      <c r="E91"/>
    </row>
    <row r="92" spans="5:5" hidden="1" x14ac:dyDescent="0.25">
      <c r="E92"/>
    </row>
    <row r="93" spans="5:5" hidden="1" x14ac:dyDescent="0.25">
      <c r="E93"/>
    </row>
    <row r="94" spans="5:5" hidden="1" x14ac:dyDescent="0.25">
      <c r="E94"/>
    </row>
    <row r="95" spans="5:5" hidden="1" x14ac:dyDescent="0.25">
      <c r="E95"/>
    </row>
    <row r="96" spans="5:5" hidden="1" x14ac:dyDescent="0.25">
      <c r="E96" s="41"/>
    </row>
    <row r="97" spans="5:5" hidden="1" x14ac:dyDescent="0.25">
      <c r="E97"/>
    </row>
    <row r="98" spans="5:5" hidden="1" x14ac:dyDescent="0.25">
      <c r="E98"/>
    </row>
    <row r="99" spans="5:5" hidden="1" x14ac:dyDescent="0.25">
      <c r="E99"/>
    </row>
    <row r="100" spans="5:5" hidden="1" x14ac:dyDescent="0.25">
      <c r="E100"/>
    </row>
    <row r="101" spans="5:5" hidden="1" x14ac:dyDescent="0.25">
      <c r="E101"/>
    </row>
    <row r="102" spans="5:5" hidden="1" x14ac:dyDescent="0.25">
      <c r="E102"/>
    </row>
    <row r="103" spans="5:5" hidden="1" x14ac:dyDescent="0.25">
      <c r="E103"/>
    </row>
    <row r="104" spans="5:5" hidden="1" x14ac:dyDescent="0.25">
      <c r="E104"/>
    </row>
    <row r="105" spans="5:5" hidden="1" x14ac:dyDescent="0.25">
      <c r="E105"/>
    </row>
    <row r="106" spans="5:5" hidden="1" x14ac:dyDescent="0.25">
      <c r="E106" s="41"/>
    </row>
    <row r="107" spans="5:5" hidden="1" x14ac:dyDescent="0.25">
      <c r="E107"/>
    </row>
    <row r="108" spans="5:5" hidden="1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</sheetData>
  <autoFilter ref="B1:G108" xr:uid="{5432F509-4DED-4D28-A581-F1D5F7720C90}">
    <filterColumn colId="3">
      <filters>
        <filter val="1"/>
        <filter val="15"/>
        <filter val="2"/>
        <filter val="3"/>
        <filter val="4"/>
        <filter val="6"/>
        <filter val="7"/>
      </filters>
    </filterColumn>
    <sortState xmlns:xlrd2="http://schemas.microsoft.com/office/spreadsheetml/2017/richdata2" ref="B2:G40">
      <sortCondition ref="C1:C108"/>
    </sortState>
  </autoFilter>
  <dataConsolidate/>
  <phoneticPr fontId="1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M_cal_1">
                <anchor moveWithCells="1" sizeWithCells="1">
                  <from>
                    <xdr:col>10</xdr:col>
                    <xdr:colOff>38100</xdr:colOff>
                    <xdr:row>1</xdr:row>
                    <xdr:rowOff>9525</xdr:rowOff>
                  </from>
                  <to>
                    <xdr:col>11</xdr:col>
                    <xdr:colOff>542925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63DB066A-5A2C-40A9-98EE-8F7862F71A47}">
          <x14:formula1>
            <xm:f>DEFINE!$G$2:$G$7</xm:f>
          </x14:formula1>
          <xm:sqref>A2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BE99D-E390-4557-A64F-8068A8D2B9E8}">
  <sheetPr codeName="工作表5"/>
  <dimension ref="A1:I267"/>
  <sheetViews>
    <sheetView zoomScaleNormal="100" workbookViewId="0">
      <pane ySplit="1" topLeftCell="A250" activePane="bottomLeft" state="frozen"/>
      <selection pane="bottomLeft" activeCell="C264" sqref="C264"/>
    </sheetView>
  </sheetViews>
  <sheetFormatPr defaultRowHeight="15.75" x14ac:dyDescent="0.25"/>
  <cols>
    <col min="1" max="1" width="54.85546875" bestFit="1" customWidth="1"/>
    <col min="2" max="2" width="9.140625" style="2"/>
    <col min="3" max="3" width="9.140625" style="15"/>
    <col min="4" max="4" width="18.7109375" style="15" bestFit="1" customWidth="1"/>
    <col min="5" max="5" width="11" style="15" bestFit="1" customWidth="1"/>
  </cols>
  <sheetData>
    <row r="1" spans="1:5" x14ac:dyDescent="0.25">
      <c r="A1" s="1" t="s">
        <v>0</v>
      </c>
      <c r="B1" s="22" t="s">
        <v>19</v>
      </c>
      <c r="C1" s="15" t="s">
        <v>165</v>
      </c>
      <c r="D1" s="15" t="s">
        <v>28</v>
      </c>
      <c r="E1" s="15" t="s">
        <v>4</v>
      </c>
    </row>
    <row r="2" spans="1:5" x14ac:dyDescent="0.25">
      <c r="A2" t="s">
        <v>93</v>
      </c>
      <c r="B2" s="2" t="str">
        <f>_xlfn.XLOOKUP(A2,MAIN!A:A,MAIN!B:B)</f>
        <v>CON</v>
      </c>
      <c r="C2" s="15">
        <v>1</v>
      </c>
      <c r="D2" s="15" t="s">
        <v>29</v>
      </c>
      <c r="E2" s="21">
        <v>44354</v>
      </c>
    </row>
    <row r="3" spans="1:5" x14ac:dyDescent="0.25">
      <c r="A3" t="s">
        <v>57</v>
      </c>
      <c r="B3" s="2" t="str">
        <f>_xlfn.XLOOKUP(A3,MAIN!A:A,MAIN!B:B)</f>
        <v>C</v>
      </c>
      <c r="C3" s="15">
        <v>3</v>
      </c>
      <c r="D3" s="15" t="s">
        <v>29</v>
      </c>
      <c r="E3" s="21">
        <v>44354</v>
      </c>
    </row>
    <row r="4" spans="1:5" x14ac:dyDescent="0.25">
      <c r="A4" t="s">
        <v>14</v>
      </c>
      <c r="B4" s="2" t="str">
        <f>_xlfn.XLOOKUP(A4,MAIN!A:A,MAIN!B:B)</f>
        <v>POW</v>
      </c>
      <c r="C4" s="15">
        <v>2</v>
      </c>
      <c r="D4" s="15" t="s">
        <v>29</v>
      </c>
      <c r="E4" s="21">
        <v>44354</v>
      </c>
    </row>
    <row r="5" spans="1:5" x14ac:dyDescent="0.25">
      <c r="A5" t="s">
        <v>146</v>
      </c>
      <c r="B5" s="2" t="str">
        <f>_xlfn.XLOOKUP(A5,MAIN!A:A,MAIN!B:B)</f>
        <v>D</v>
      </c>
      <c r="C5" s="15">
        <v>2</v>
      </c>
      <c r="D5" s="15" t="s">
        <v>29</v>
      </c>
      <c r="E5" s="21">
        <v>44354</v>
      </c>
    </row>
    <row r="6" spans="1:5" x14ac:dyDescent="0.25">
      <c r="A6" t="s">
        <v>64</v>
      </c>
      <c r="B6" s="2" t="str">
        <f>_xlfn.XLOOKUP(A6,MAIN!A:A,MAIN!B:B)</f>
        <v>L</v>
      </c>
      <c r="C6" s="15">
        <v>2</v>
      </c>
      <c r="D6" s="15" t="s">
        <v>29</v>
      </c>
      <c r="E6" s="21">
        <v>44354</v>
      </c>
    </row>
    <row r="7" spans="1:5" x14ac:dyDescent="0.25">
      <c r="A7" t="s">
        <v>69</v>
      </c>
      <c r="B7" s="2" t="str">
        <f>_xlfn.XLOOKUP(A7,MAIN!A:A,MAIN!B:B)</f>
        <v>C</v>
      </c>
      <c r="C7" s="15">
        <v>2</v>
      </c>
      <c r="D7" s="15" t="s">
        <v>29</v>
      </c>
      <c r="E7" s="21">
        <v>44354</v>
      </c>
    </row>
    <row r="8" spans="1:5" x14ac:dyDescent="0.25">
      <c r="A8" t="s">
        <v>129</v>
      </c>
      <c r="B8" s="2" t="str">
        <f>_xlfn.XLOOKUP(A8,MAIN!A:A,MAIN!B:B)</f>
        <v>LED</v>
      </c>
      <c r="C8" s="15">
        <v>2</v>
      </c>
      <c r="D8" s="15" t="s">
        <v>29</v>
      </c>
      <c r="E8" s="21">
        <v>44354</v>
      </c>
    </row>
    <row r="9" spans="1:5" x14ac:dyDescent="0.25">
      <c r="A9" t="s">
        <v>83</v>
      </c>
      <c r="B9" s="2" t="str">
        <f>_xlfn.XLOOKUP(A9,MAIN!A:A,MAIN!B:B)</f>
        <v>LDO</v>
      </c>
      <c r="C9" s="15">
        <v>3</v>
      </c>
      <c r="D9" s="15" t="s">
        <v>29</v>
      </c>
      <c r="E9" s="21">
        <v>44354</v>
      </c>
    </row>
    <row r="10" spans="1:5" x14ac:dyDescent="0.25">
      <c r="A10" t="s">
        <v>80</v>
      </c>
      <c r="B10" s="2" t="str">
        <f>_xlfn.XLOOKUP(A10,MAIN!A:A,MAIN!B:B)</f>
        <v>C</v>
      </c>
      <c r="C10" s="15">
        <v>9</v>
      </c>
      <c r="D10" s="15" t="s">
        <v>29</v>
      </c>
      <c r="E10" s="21">
        <v>44354</v>
      </c>
    </row>
    <row r="11" spans="1:5" x14ac:dyDescent="0.25">
      <c r="A11" t="s">
        <v>54</v>
      </c>
      <c r="B11" s="2" t="str">
        <f>_xlfn.XLOOKUP(A11,MAIN!A:A,MAIN!B:B)</f>
        <v>LDO</v>
      </c>
      <c r="C11" s="15">
        <v>1</v>
      </c>
      <c r="D11" s="15" t="s">
        <v>29</v>
      </c>
      <c r="E11" s="21">
        <v>44354</v>
      </c>
    </row>
    <row r="12" spans="1:5" x14ac:dyDescent="0.25">
      <c r="A12" t="s">
        <v>166</v>
      </c>
      <c r="B12" s="2" t="str">
        <f>_xlfn.XLOOKUP(A12,MAIN!A:A,MAIN!B:B)</f>
        <v>LDO</v>
      </c>
      <c r="C12" s="15">
        <v>2</v>
      </c>
      <c r="D12" s="15" t="s">
        <v>29</v>
      </c>
      <c r="E12" s="21">
        <v>44354</v>
      </c>
    </row>
    <row r="13" spans="1:5" x14ac:dyDescent="0.25">
      <c r="A13" t="s">
        <v>159</v>
      </c>
      <c r="B13" s="2" t="str">
        <f>_xlfn.XLOOKUP(A13,MAIN!A:A,MAIN!B:B)</f>
        <v>SER</v>
      </c>
      <c r="C13" s="15">
        <v>1</v>
      </c>
      <c r="D13" s="15" t="s">
        <v>29</v>
      </c>
      <c r="E13" s="21">
        <v>44355</v>
      </c>
    </row>
    <row r="14" spans="1:5" x14ac:dyDescent="0.25">
      <c r="A14" t="s">
        <v>144</v>
      </c>
      <c r="B14" s="2" t="str">
        <f>_xlfn.XLOOKUP(A14,MAIN!A:A,MAIN!B:B)</f>
        <v>SER</v>
      </c>
      <c r="C14" s="15">
        <v>1</v>
      </c>
      <c r="D14" s="15" t="s">
        <v>29</v>
      </c>
      <c r="E14" s="21">
        <v>44355</v>
      </c>
    </row>
    <row r="15" spans="1:5" x14ac:dyDescent="0.25">
      <c r="A15" t="s">
        <v>150</v>
      </c>
      <c r="B15" s="2" t="str">
        <f>_xlfn.XLOOKUP(A15,MAIN!A:A,MAIN!B:B)</f>
        <v>PCB</v>
      </c>
      <c r="C15" s="15">
        <v>3</v>
      </c>
      <c r="D15" s="15" t="s">
        <v>29</v>
      </c>
      <c r="E15" s="21">
        <v>44355</v>
      </c>
    </row>
    <row r="16" spans="1:5" x14ac:dyDescent="0.25">
      <c r="A16" t="s">
        <v>267</v>
      </c>
      <c r="B16" s="2" t="str">
        <f>_xlfn.XLOOKUP(A16,MAIN!A:A,MAIN!B:B)</f>
        <v>MOS</v>
      </c>
      <c r="C16" s="15">
        <v>1</v>
      </c>
      <c r="D16" s="15" t="s">
        <v>29</v>
      </c>
      <c r="E16" s="21">
        <v>44355</v>
      </c>
    </row>
    <row r="17" spans="1:5" x14ac:dyDescent="0.25">
      <c r="A17" t="s">
        <v>51</v>
      </c>
      <c r="B17" s="2" t="str">
        <f>_xlfn.XLOOKUP(A17,MAIN!A:A,MAIN!B:B)</f>
        <v>LS</v>
      </c>
      <c r="C17" s="15">
        <v>2</v>
      </c>
      <c r="D17" s="15" t="s">
        <v>29</v>
      </c>
      <c r="E17" s="21">
        <v>44355</v>
      </c>
    </row>
    <row r="18" spans="1:5" x14ac:dyDescent="0.25">
      <c r="A18" t="s">
        <v>113</v>
      </c>
      <c r="B18" s="2" t="str">
        <f>_xlfn.XLOOKUP(A18,MAIN!A:A,MAIN!B:B)</f>
        <v>C</v>
      </c>
      <c r="C18" s="15">
        <v>12</v>
      </c>
      <c r="D18" s="15" t="s">
        <v>29</v>
      </c>
      <c r="E18" s="21">
        <v>44355</v>
      </c>
    </row>
    <row r="19" spans="1:5" x14ac:dyDescent="0.25">
      <c r="A19" t="s">
        <v>135</v>
      </c>
      <c r="B19" s="2" t="str">
        <f>_xlfn.XLOOKUP(A19,MAIN!A:A,MAIN!B:B)</f>
        <v>OP</v>
      </c>
      <c r="C19" s="15">
        <v>1</v>
      </c>
      <c r="D19" s="15" t="s">
        <v>29</v>
      </c>
      <c r="E19" s="21">
        <v>44356</v>
      </c>
    </row>
    <row r="20" spans="1:5" x14ac:dyDescent="0.25">
      <c r="A20" t="s">
        <v>137</v>
      </c>
      <c r="B20" s="2" t="str">
        <f>_xlfn.XLOOKUP(A20,MAIN!A:A,MAIN!B:B)</f>
        <v>D</v>
      </c>
      <c r="C20" s="15">
        <v>1</v>
      </c>
      <c r="D20" s="15" t="s">
        <v>29</v>
      </c>
      <c r="E20" s="21">
        <v>44356</v>
      </c>
    </row>
    <row r="21" spans="1:5" x14ac:dyDescent="0.25">
      <c r="A21" t="s">
        <v>108</v>
      </c>
      <c r="B21" s="2" t="str">
        <f>_xlfn.XLOOKUP(A21,MAIN!A:A,MAIN!B:B)</f>
        <v>MUX</v>
      </c>
      <c r="C21" s="15">
        <v>1</v>
      </c>
      <c r="D21" s="15" t="s">
        <v>29</v>
      </c>
      <c r="E21" s="21">
        <v>44356</v>
      </c>
    </row>
    <row r="22" spans="1:5" x14ac:dyDescent="0.25">
      <c r="A22" t="s">
        <v>33</v>
      </c>
      <c r="B22" s="2" t="str">
        <f>_xlfn.XLOOKUP(A22,MAIN!A:A,MAIN!B:B)</f>
        <v>EVB</v>
      </c>
      <c r="C22" s="15">
        <v>1</v>
      </c>
      <c r="D22" s="15" t="s">
        <v>29</v>
      </c>
      <c r="E22" s="21">
        <v>44372</v>
      </c>
    </row>
    <row r="23" spans="1:5" x14ac:dyDescent="0.25">
      <c r="A23" t="s">
        <v>144</v>
      </c>
      <c r="B23" s="2" t="str">
        <f>_xlfn.XLOOKUP(A23,MAIN!A:A,MAIN!B:B)</f>
        <v>SER</v>
      </c>
      <c r="C23" s="15">
        <v>1</v>
      </c>
      <c r="D23" s="15" t="s">
        <v>29</v>
      </c>
      <c r="E23" s="21">
        <v>44384</v>
      </c>
    </row>
    <row r="24" spans="1:5" x14ac:dyDescent="0.25">
      <c r="A24" t="s">
        <v>267</v>
      </c>
      <c r="B24" s="2" t="str">
        <f>_xlfn.XLOOKUP(A24,MAIN!A:A,MAIN!B:B)</f>
        <v>MOS</v>
      </c>
      <c r="C24" s="15">
        <v>1</v>
      </c>
      <c r="D24" s="15" t="s">
        <v>29</v>
      </c>
      <c r="E24" s="21">
        <v>44384</v>
      </c>
    </row>
    <row r="25" spans="1:5" x14ac:dyDescent="0.25">
      <c r="A25" t="s">
        <v>80</v>
      </c>
      <c r="B25" s="2" t="str">
        <f>_xlfn.XLOOKUP(A25,MAIN!A:A,MAIN!B:B)</f>
        <v>C</v>
      </c>
      <c r="C25" s="15">
        <v>3</v>
      </c>
      <c r="D25" s="15" t="s">
        <v>29</v>
      </c>
      <c r="E25" s="21">
        <v>44384</v>
      </c>
    </row>
    <row r="26" spans="1:5" x14ac:dyDescent="0.25">
      <c r="A26" t="s">
        <v>54</v>
      </c>
      <c r="B26" s="2" t="str">
        <f>_xlfn.XLOOKUP(A26,MAIN!A:A,MAIN!B:B)</f>
        <v>LDO</v>
      </c>
      <c r="C26" s="15">
        <v>1</v>
      </c>
      <c r="D26" s="15" t="s">
        <v>29</v>
      </c>
      <c r="E26" s="21">
        <v>44384</v>
      </c>
    </row>
    <row r="27" spans="1:5" x14ac:dyDescent="0.25">
      <c r="A27" t="s">
        <v>83</v>
      </c>
      <c r="B27" s="2" t="str">
        <f>_xlfn.XLOOKUP(A27,MAIN!A:A,MAIN!B:B)</f>
        <v>LDO</v>
      </c>
      <c r="C27" s="15">
        <v>1</v>
      </c>
      <c r="D27" s="15" t="s">
        <v>29</v>
      </c>
      <c r="E27" s="21">
        <v>44384</v>
      </c>
    </row>
    <row r="28" spans="1:5" x14ac:dyDescent="0.25">
      <c r="A28" t="s">
        <v>94</v>
      </c>
      <c r="B28" s="2" t="str">
        <f>_xlfn.XLOOKUP(A28,MAIN!A:A,MAIN!B:B)</f>
        <v>CON</v>
      </c>
      <c r="C28" s="15">
        <v>1</v>
      </c>
      <c r="D28" s="15" t="s">
        <v>29</v>
      </c>
      <c r="E28" s="21">
        <v>44384</v>
      </c>
    </row>
    <row r="29" spans="1:5" x14ac:dyDescent="0.25">
      <c r="A29" t="s">
        <v>96</v>
      </c>
      <c r="B29" s="2" t="str">
        <f>_xlfn.XLOOKUP(A29,MAIN!A:A,MAIN!B:B)</f>
        <v>CON</v>
      </c>
      <c r="C29" s="15">
        <v>3</v>
      </c>
      <c r="D29" s="15" t="s">
        <v>29</v>
      </c>
      <c r="E29" s="21">
        <v>44384</v>
      </c>
    </row>
    <row r="30" spans="1:5" x14ac:dyDescent="0.25">
      <c r="A30" t="s">
        <v>57</v>
      </c>
      <c r="B30" s="2" t="str">
        <f>_xlfn.XLOOKUP(A30,MAIN!A:A,MAIN!B:B)</f>
        <v>C</v>
      </c>
      <c r="C30" s="15">
        <v>3</v>
      </c>
      <c r="D30" s="15" t="s">
        <v>29</v>
      </c>
      <c r="E30" s="21">
        <v>44384</v>
      </c>
    </row>
    <row r="31" spans="1:5" x14ac:dyDescent="0.25">
      <c r="A31" t="s">
        <v>113</v>
      </c>
      <c r="B31" s="2" t="str">
        <f>_xlfn.XLOOKUP(A31,MAIN!A:A,MAIN!B:B)</f>
        <v>C</v>
      </c>
      <c r="C31" s="15">
        <v>1</v>
      </c>
      <c r="D31" s="15" t="s">
        <v>272</v>
      </c>
      <c r="E31" s="21">
        <v>44390</v>
      </c>
    </row>
    <row r="32" spans="1:5" x14ac:dyDescent="0.25">
      <c r="A32" s="8" t="s">
        <v>93</v>
      </c>
      <c r="B32" s="22" t="str">
        <f>_xlfn.XLOOKUP(A32,MAIN!A:A,MAIN!B:B)</f>
        <v>CON</v>
      </c>
      <c r="C32" s="28">
        <v>1</v>
      </c>
      <c r="D32" s="28" t="s">
        <v>29</v>
      </c>
      <c r="E32" s="29">
        <v>44391</v>
      </c>
    </row>
    <row r="33" spans="1:5" x14ac:dyDescent="0.25">
      <c r="A33" t="s">
        <v>57</v>
      </c>
      <c r="B33" s="2" t="str">
        <f>_xlfn.XLOOKUP(A33,MAIN!A:A,MAIN!B:B)</f>
        <v>C</v>
      </c>
      <c r="C33" s="15">
        <v>3</v>
      </c>
      <c r="D33" s="15" t="s">
        <v>29</v>
      </c>
      <c r="E33" s="21">
        <v>44391</v>
      </c>
    </row>
    <row r="34" spans="1:5" x14ac:dyDescent="0.25">
      <c r="A34" t="s">
        <v>14</v>
      </c>
      <c r="B34" s="2" t="str">
        <f>_xlfn.XLOOKUP(A34,MAIN!A:A,MAIN!B:B)</f>
        <v>POW</v>
      </c>
      <c r="C34" s="15">
        <v>2</v>
      </c>
      <c r="D34" s="15" t="s">
        <v>29</v>
      </c>
      <c r="E34" s="21">
        <v>44391</v>
      </c>
    </row>
    <row r="35" spans="1:5" x14ac:dyDescent="0.25">
      <c r="A35" t="s">
        <v>146</v>
      </c>
      <c r="B35" s="2" t="str">
        <f>_xlfn.XLOOKUP(A35,MAIN!A:A,MAIN!B:B)</f>
        <v>D</v>
      </c>
      <c r="C35" s="15">
        <v>2</v>
      </c>
      <c r="D35" s="15" t="s">
        <v>29</v>
      </c>
      <c r="E35" s="21">
        <v>44391</v>
      </c>
    </row>
    <row r="36" spans="1:5" x14ac:dyDescent="0.25">
      <c r="A36" t="s">
        <v>64</v>
      </c>
      <c r="B36" s="2" t="str">
        <f>_xlfn.XLOOKUP(A36,MAIN!A:A,MAIN!B:B)</f>
        <v>L</v>
      </c>
      <c r="C36" s="15">
        <v>2</v>
      </c>
      <c r="D36" s="15" t="s">
        <v>29</v>
      </c>
      <c r="E36" s="21">
        <v>44391</v>
      </c>
    </row>
    <row r="37" spans="1:5" x14ac:dyDescent="0.25">
      <c r="A37" t="s">
        <v>69</v>
      </c>
      <c r="B37" s="2" t="str">
        <f>_xlfn.XLOOKUP(A37,MAIN!A:A,MAIN!B:B)</f>
        <v>C</v>
      </c>
      <c r="C37" s="15">
        <v>2</v>
      </c>
      <c r="D37" s="15" t="s">
        <v>29</v>
      </c>
      <c r="E37" s="21">
        <v>44391</v>
      </c>
    </row>
    <row r="38" spans="1:5" x14ac:dyDescent="0.25">
      <c r="A38" t="s">
        <v>129</v>
      </c>
      <c r="B38" s="2" t="str">
        <f>_xlfn.XLOOKUP(A38,MAIN!A:A,MAIN!B:B)</f>
        <v>LED</v>
      </c>
      <c r="C38" s="15">
        <v>2</v>
      </c>
      <c r="D38" s="15" t="s">
        <v>29</v>
      </c>
      <c r="E38" s="21">
        <v>44391</v>
      </c>
    </row>
    <row r="39" spans="1:5" x14ac:dyDescent="0.25">
      <c r="A39" t="s">
        <v>83</v>
      </c>
      <c r="B39" s="2" t="str">
        <f>_xlfn.XLOOKUP(A39,MAIN!A:A,MAIN!B:B)</f>
        <v>LDO</v>
      </c>
      <c r="C39" s="15">
        <v>1</v>
      </c>
      <c r="D39" s="15" t="s">
        <v>29</v>
      </c>
      <c r="E39" s="21">
        <v>44391</v>
      </c>
    </row>
    <row r="40" spans="1:5" x14ac:dyDescent="0.25">
      <c r="A40" t="s">
        <v>166</v>
      </c>
      <c r="B40" s="2" t="str">
        <f>_xlfn.XLOOKUP(A40,MAIN!A:A,MAIN!B:B)</f>
        <v>LDO</v>
      </c>
      <c r="C40" s="15">
        <v>1</v>
      </c>
      <c r="D40" s="15" t="s">
        <v>29</v>
      </c>
      <c r="E40" s="21">
        <v>44391</v>
      </c>
    </row>
    <row r="41" spans="1:5" x14ac:dyDescent="0.25">
      <c r="A41" t="s">
        <v>80</v>
      </c>
      <c r="B41" s="2" t="str">
        <f>_xlfn.XLOOKUP(A41,MAIN!A:A,MAIN!B:B)</f>
        <v>C</v>
      </c>
      <c r="C41" s="15">
        <v>3</v>
      </c>
      <c r="D41" s="15" t="s">
        <v>29</v>
      </c>
      <c r="E41" s="21">
        <v>44391</v>
      </c>
    </row>
    <row r="42" spans="1:5" x14ac:dyDescent="0.25">
      <c r="A42" t="s">
        <v>80</v>
      </c>
      <c r="B42" s="2" t="str">
        <f>_xlfn.XLOOKUP(A42,MAIN!A:A,MAIN!B:B)</f>
        <v>C</v>
      </c>
      <c r="C42" s="15">
        <v>3</v>
      </c>
      <c r="D42" s="15" t="s">
        <v>29</v>
      </c>
      <c r="E42" s="21">
        <v>44391</v>
      </c>
    </row>
    <row r="43" spans="1:5" x14ac:dyDescent="0.25">
      <c r="A43" t="s">
        <v>166</v>
      </c>
      <c r="B43" s="2" t="str">
        <f>_xlfn.XLOOKUP(A43,MAIN!A:A,MAIN!B:B)</f>
        <v>LDO</v>
      </c>
      <c r="C43" s="15">
        <v>1</v>
      </c>
      <c r="D43" s="15" t="s">
        <v>29</v>
      </c>
      <c r="E43" s="21">
        <v>44391</v>
      </c>
    </row>
    <row r="44" spans="1:5" x14ac:dyDescent="0.25">
      <c r="A44" t="s">
        <v>83</v>
      </c>
      <c r="B44" s="2" t="str">
        <f>_xlfn.XLOOKUP(A44,MAIN!A:A,MAIN!B:B)</f>
        <v>LDO</v>
      </c>
      <c r="C44" s="15">
        <v>1</v>
      </c>
      <c r="D44" s="15" t="s">
        <v>29</v>
      </c>
      <c r="E44" s="21">
        <v>44391</v>
      </c>
    </row>
    <row r="45" spans="1:5" x14ac:dyDescent="0.25">
      <c r="A45" t="s">
        <v>96</v>
      </c>
      <c r="B45" s="2" t="str">
        <f>_xlfn.XLOOKUP(A45,MAIN!A:A,MAIN!B:B)</f>
        <v>CON</v>
      </c>
      <c r="C45" s="15">
        <v>1</v>
      </c>
      <c r="D45" s="15" t="s">
        <v>29</v>
      </c>
      <c r="E45" s="21">
        <v>44391</v>
      </c>
    </row>
    <row r="46" spans="1:5" x14ac:dyDescent="0.25">
      <c r="A46" t="s">
        <v>273</v>
      </c>
      <c r="B46" s="2" t="str">
        <f>_xlfn.XLOOKUP(A46,MAIN!A:A,MAIN!B:B)</f>
        <v>PCB</v>
      </c>
      <c r="C46" s="15">
        <v>2</v>
      </c>
      <c r="D46" s="15" t="s">
        <v>29</v>
      </c>
      <c r="E46" s="21">
        <v>44391</v>
      </c>
    </row>
    <row r="47" spans="1:5" x14ac:dyDescent="0.25">
      <c r="A47" s="30" t="s">
        <v>93</v>
      </c>
      <c r="B47" s="31" t="str">
        <f>_xlfn.XLOOKUP(A47,MAIN!A:A,MAIN!B:B)</f>
        <v>CON</v>
      </c>
      <c r="C47" s="32">
        <v>1</v>
      </c>
      <c r="D47" s="32" t="s">
        <v>29</v>
      </c>
      <c r="E47" s="33">
        <v>44393</v>
      </c>
    </row>
    <row r="48" spans="1:5" x14ac:dyDescent="0.25">
      <c r="A48" t="s">
        <v>57</v>
      </c>
      <c r="B48" s="2" t="str">
        <f>_xlfn.XLOOKUP(A48,MAIN!A:A,MAIN!B:B)</f>
        <v>C</v>
      </c>
      <c r="C48" s="15">
        <v>0</v>
      </c>
      <c r="D48" s="15" t="s">
        <v>29</v>
      </c>
      <c r="E48" s="21">
        <v>44393</v>
      </c>
    </row>
    <row r="49" spans="1:5" x14ac:dyDescent="0.25">
      <c r="A49" t="s">
        <v>14</v>
      </c>
      <c r="B49" s="2" t="str">
        <f>_xlfn.XLOOKUP(A49,MAIN!A:A,MAIN!B:B)</f>
        <v>POW</v>
      </c>
      <c r="C49" s="15">
        <v>2</v>
      </c>
      <c r="D49" s="15" t="s">
        <v>29</v>
      </c>
      <c r="E49" s="21">
        <v>44393</v>
      </c>
    </row>
    <row r="50" spans="1:5" x14ac:dyDescent="0.25">
      <c r="A50" t="s">
        <v>146</v>
      </c>
      <c r="B50" s="2" t="str">
        <f>_xlfn.XLOOKUP(A50,MAIN!A:A,MAIN!B:B)</f>
        <v>D</v>
      </c>
      <c r="C50" s="15">
        <v>2</v>
      </c>
      <c r="D50" s="15" t="s">
        <v>29</v>
      </c>
      <c r="E50" s="21">
        <v>44393</v>
      </c>
    </row>
    <row r="51" spans="1:5" x14ac:dyDescent="0.25">
      <c r="A51" t="s">
        <v>64</v>
      </c>
      <c r="B51" s="2" t="str">
        <f>_xlfn.XLOOKUP(A51,MAIN!A:A,MAIN!B:B)</f>
        <v>L</v>
      </c>
      <c r="C51" s="15">
        <v>2</v>
      </c>
      <c r="D51" s="15" t="s">
        <v>29</v>
      </c>
      <c r="E51" s="21">
        <v>44393</v>
      </c>
    </row>
    <row r="52" spans="1:5" x14ac:dyDescent="0.25">
      <c r="A52" t="s">
        <v>69</v>
      </c>
      <c r="B52" s="2" t="str">
        <f>_xlfn.XLOOKUP(A52,MAIN!A:A,MAIN!B:B)</f>
        <v>C</v>
      </c>
      <c r="C52" s="15">
        <v>2</v>
      </c>
      <c r="D52" s="15" t="s">
        <v>29</v>
      </c>
      <c r="E52" s="21">
        <v>44393</v>
      </c>
    </row>
    <row r="53" spans="1:5" x14ac:dyDescent="0.25">
      <c r="A53" t="s">
        <v>129</v>
      </c>
      <c r="B53" s="2" t="str">
        <f>_xlfn.XLOOKUP(A53,MAIN!A:A,MAIN!B:B)</f>
        <v>LED</v>
      </c>
      <c r="C53" s="15">
        <v>2</v>
      </c>
      <c r="D53" s="15" t="s">
        <v>29</v>
      </c>
      <c r="E53" s="21">
        <v>44393</v>
      </c>
    </row>
    <row r="54" spans="1:5" x14ac:dyDescent="0.25">
      <c r="A54" t="s">
        <v>83</v>
      </c>
      <c r="B54" s="2" t="str">
        <f>_xlfn.XLOOKUP(A54,MAIN!A:A,MAIN!B:B)</f>
        <v>LDO</v>
      </c>
      <c r="C54" s="15">
        <v>2</v>
      </c>
      <c r="D54" s="15" t="s">
        <v>29</v>
      </c>
      <c r="E54" s="21">
        <v>44393</v>
      </c>
    </row>
    <row r="55" spans="1:5" x14ac:dyDescent="0.25">
      <c r="A55" t="s">
        <v>166</v>
      </c>
      <c r="B55" s="2" t="str">
        <f>_xlfn.XLOOKUP(A55,MAIN!A:A,MAIN!B:B)</f>
        <v>LDO</v>
      </c>
      <c r="C55" s="15">
        <v>1</v>
      </c>
      <c r="D55" s="15" t="s">
        <v>29</v>
      </c>
      <c r="E55" s="21">
        <v>44393</v>
      </c>
    </row>
    <row r="56" spans="1:5" x14ac:dyDescent="0.25">
      <c r="A56" t="s">
        <v>80</v>
      </c>
      <c r="B56" s="2" t="str">
        <f>_xlfn.XLOOKUP(A56,MAIN!A:A,MAIN!B:B)</f>
        <v>C</v>
      </c>
      <c r="C56" s="15">
        <v>5</v>
      </c>
      <c r="D56" s="15" t="s">
        <v>29</v>
      </c>
      <c r="E56" s="21">
        <v>44393</v>
      </c>
    </row>
    <row r="57" spans="1:5" x14ac:dyDescent="0.25">
      <c r="A57" t="s">
        <v>113</v>
      </c>
      <c r="B57" s="2" t="str">
        <f>_xlfn.XLOOKUP(A57,MAIN!A:A,MAIN!B:B)</f>
        <v>C</v>
      </c>
      <c r="C57" s="15">
        <v>10</v>
      </c>
      <c r="D57" s="15" t="s">
        <v>29</v>
      </c>
      <c r="E57" s="21">
        <v>44396</v>
      </c>
    </row>
    <row r="58" spans="1:5" x14ac:dyDescent="0.25">
      <c r="A58" t="s">
        <v>69</v>
      </c>
      <c r="B58" s="2" t="str">
        <f>_xlfn.XLOOKUP(A58,MAIN!A:A,MAIN!B:B)</f>
        <v>C</v>
      </c>
      <c r="C58" s="15">
        <v>1</v>
      </c>
      <c r="D58" s="15" t="s">
        <v>29</v>
      </c>
      <c r="E58" s="21">
        <v>44419</v>
      </c>
    </row>
    <row r="59" spans="1:5" x14ac:dyDescent="0.25">
      <c r="A59" t="s">
        <v>129</v>
      </c>
      <c r="B59" s="2" t="str">
        <f>_xlfn.XLOOKUP(A59,MAIN!A:A,MAIN!B:B)</f>
        <v>LED</v>
      </c>
      <c r="C59" s="15">
        <v>2</v>
      </c>
      <c r="D59" s="15" t="s">
        <v>29</v>
      </c>
      <c r="E59" s="21">
        <v>44419</v>
      </c>
    </row>
    <row r="60" spans="1:5" x14ac:dyDescent="0.25">
      <c r="A60" t="s">
        <v>273</v>
      </c>
      <c r="B60" s="2" t="str">
        <f>_xlfn.XLOOKUP(A60,MAIN!A:A,MAIN!B:B)</f>
        <v>PCB</v>
      </c>
      <c r="C60" s="15">
        <v>1</v>
      </c>
      <c r="D60" s="15" t="s">
        <v>29</v>
      </c>
      <c r="E60" s="21">
        <v>44419</v>
      </c>
    </row>
    <row r="61" spans="1:5" x14ac:dyDescent="0.25">
      <c r="A61" t="s">
        <v>114</v>
      </c>
      <c r="B61" s="2" t="str">
        <f>_xlfn.XLOOKUP(A61,MAIN!A:A,MAIN!B:B)</f>
        <v>EVB</v>
      </c>
      <c r="C61" s="15">
        <v>1</v>
      </c>
      <c r="D61" s="15" t="s">
        <v>29</v>
      </c>
      <c r="E61" s="21">
        <v>44440</v>
      </c>
    </row>
    <row r="62" spans="1:5" x14ac:dyDescent="0.25">
      <c r="A62" t="s">
        <v>83</v>
      </c>
      <c r="B62" s="2" t="str">
        <f>_xlfn.XLOOKUP(A62,MAIN!A:A,MAIN!B:B)</f>
        <v>LDO</v>
      </c>
      <c r="C62" s="15">
        <v>1</v>
      </c>
      <c r="D62" s="15" t="s">
        <v>29</v>
      </c>
      <c r="E62" s="21">
        <v>44442</v>
      </c>
    </row>
    <row r="63" spans="1:5" x14ac:dyDescent="0.25">
      <c r="A63" t="s">
        <v>113</v>
      </c>
      <c r="B63" s="2" t="str">
        <f>_xlfn.XLOOKUP(A63,MAIN!A:A,MAIN!B:B)</f>
        <v>C</v>
      </c>
      <c r="C63" s="15">
        <v>2</v>
      </c>
      <c r="D63" s="15" t="s">
        <v>29</v>
      </c>
      <c r="E63" s="21">
        <v>44442</v>
      </c>
    </row>
    <row r="64" spans="1:5" x14ac:dyDescent="0.25">
      <c r="A64" t="s">
        <v>166</v>
      </c>
      <c r="B64" s="2" t="str">
        <f>_xlfn.XLOOKUP(A64,MAIN!A:A,MAIN!B:B)</f>
        <v>LDO</v>
      </c>
      <c r="C64" s="15">
        <v>2</v>
      </c>
      <c r="D64" s="15" t="s">
        <v>29</v>
      </c>
      <c r="E64" s="21">
        <v>44442</v>
      </c>
    </row>
    <row r="65" spans="1:5" x14ac:dyDescent="0.25">
      <c r="A65" t="s">
        <v>80</v>
      </c>
      <c r="B65" s="2" t="str">
        <f>_xlfn.XLOOKUP(A65,MAIN!A:A,MAIN!B:B)</f>
        <v>C</v>
      </c>
      <c r="C65" s="15">
        <v>1</v>
      </c>
      <c r="D65" s="15" t="s">
        <v>29</v>
      </c>
      <c r="E65" s="21">
        <v>44442</v>
      </c>
    </row>
    <row r="66" spans="1:5" x14ac:dyDescent="0.25">
      <c r="A66" t="s">
        <v>214</v>
      </c>
      <c r="B66" s="2" t="str">
        <f>_xlfn.XLOOKUP(A66,MAIN!A:A,MAIN!B:B)</f>
        <v>C</v>
      </c>
      <c r="C66" s="15">
        <v>2</v>
      </c>
      <c r="D66" s="15" t="s">
        <v>499</v>
      </c>
      <c r="E66" s="21">
        <v>44477</v>
      </c>
    </row>
    <row r="67" spans="1:5" x14ac:dyDescent="0.25">
      <c r="A67" t="s">
        <v>268</v>
      </c>
      <c r="B67" s="2" t="str">
        <f>_xlfn.XLOOKUP(A67,MAIN!A:A,MAIN!B:B)</f>
        <v>C</v>
      </c>
      <c r="C67" s="15">
        <v>2</v>
      </c>
      <c r="D67" s="15" t="s">
        <v>499</v>
      </c>
      <c r="E67" s="21">
        <v>44477</v>
      </c>
    </row>
    <row r="68" spans="1:5" x14ac:dyDescent="0.25">
      <c r="A68" t="s">
        <v>184</v>
      </c>
      <c r="B68" s="2" t="str">
        <f>_xlfn.XLOOKUP(A68,MAIN!A:A,MAIN!B:B)</f>
        <v>CON</v>
      </c>
      <c r="C68" s="15">
        <v>4</v>
      </c>
      <c r="D68" s="15" t="s">
        <v>499</v>
      </c>
      <c r="E68" s="21">
        <v>44477</v>
      </c>
    </row>
    <row r="69" spans="1:5" x14ac:dyDescent="0.25">
      <c r="A69" t="s">
        <v>185</v>
      </c>
      <c r="B69" s="2" t="str">
        <f>_xlfn.XLOOKUP(A69,MAIN!A:A,MAIN!B:B)</f>
        <v>CON</v>
      </c>
      <c r="C69" s="15">
        <v>4</v>
      </c>
      <c r="D69" s="15" t="s">
        <v>499</v>
      </c>
      <c r="E69" s="21">
        <v>44477</v>
      </c>
    </row>
    <row r="70" spans="1:5" x14ac:dyDescent="0.25">
      <c r="A70" t="s">
        <v>270</v>
      </c>
      <c r="B70" s="2" t="str">
        <f>_xlfn.XLOOKUP(A70,MAIN!A:A,MAIN!B:B)</f>
        <v>C</v>
      </c>
      <c r="C70" s="15">
        <v>4</v>
      </c>
      <c r="D70" s="15" t="s">
        <v>499</v>
      </c>
      <c r="E70" s="21">
        <v>44477</v>
      </c>
    </row>
    <row r="71" spans="1:5" x14ac:dyDescent="0.25">
      <c r="A71" t="s">
        <v>286</v>
      </c>
      <c r="B71" s="2" t="str">
        <f>_xlfn.XLOOKUP(A71,MAIN!A:A,MAIN!B:B)</f>
        <v>D</v>
      </c>
      <c r="C71" s="15">
        <v>4</v>
      </c>
      <c r="D71" s="15" t="s">
        <v>499</v>
      </c>
    </row>
    <row r="72" spans="1:5" x14ac:dyDescent="0.25">
      <c r="A72" t="s">
        <v>325</v>
      </c>
      <c r="B72" s="2" t="str">
        <f>_xlfn.XLOOKUP(A72,MAIN!A:A,MAIN!B:B)</f>
        <v>D</v>
      </c>
      <c r="C72" s="15">
        <v>2</v>
      </c>
      <c r="D72" s="15" t="s">
        <v>499</v>
      </c>
      <c r="E72" s="21">
        <v>44477</v>
      </c>
    </row>
    <row r="73" spans="1:5" x14ac:dyDescent="0.25">
      <c r="A73" t="s">
        <v>327</v>
      </c>
      <c r="B73" s="2" t="str">
        <f>_xlfn.XLOOKUP(A73,MAIN!A:A,MAIN!B:B)</f>
        <v>D</v>
      </c>
      <c r="C73" s="15">
        <v>2</v>
      </c>
      <c r="D73" s="15" t="s">
        <v>499</v>
      </c>
      <c r="E73" s="21">
        <v>44477</v>
      </c>
    </row>
    <row r="74" spans="1:5" x14ac:dyDescent="0.25">
      <c r="A74" t="s">
        <v>175</v>
      </c>
      <c r="B74" s="2" t="str">
        <f>_xlfn.XLOOKUP(A74,MAIN!A:A,MAIN!B:B)</f>
        <v>FPGA</v>
      </c>
      <c r="C74" s="15">
        <v>2</v>
      </c>
      <c r="D74" s="15" t="s">
        <v>499</v>
      </c>
      <c r="E74" s="21">
        <v>44477</v>
      </c>
    </row>
    <row r="75" spans="1:5" x14ac:dyDescent="0.25">
      <c r="A75" t="s">
        <v>390</v>
      </c>
      <c r="B75" s="2" t="str">
        <f>_xlfn.XLOOKUP(A75,MAIN!A:A,MAIN!B:B)</f>
        <v>MEM</v>
      </c>
      <c r="C75" s="15">
        <v>2</v>
      </c>
      <c r="D75" s="15" t="s">
        <v>499</v>
      </c>
      <c r="E75" s="21">
        <v>44477</v>
      </c>
    </row>
    <row r="76" spans="1:5" x14ac:dyDescent="0.25">
      <c r="A76" t="s">
        <v>389</v>
      </c>
      <c r="B76" s="2" t="str">
        <f>_xlfn.XLOOKUP(A76,MAIN!A:A,MAIN!B:B)</f>
        <v>MEM</v>
      </c>
      <c r="C76" s="15">
        <v>2</v>
      </c>
      <c r="D76" s="15" t="s">
        <v>499</v>
      </c>
      <c r="E76" s="21">
        <v>44477</v>
      </c>
    </row>
    <row r="77" spans="1:5" x14ac:dyDescent="0.25">
      <c r="A77" t="s">
        <v>169</v>
      </c>
      <c r="B77" s="2" t="str">
        <f>_xlfn.XLOOKUP(A77,MAIN!A:A,MAIN!B:B)</f>
        <v>ADC</v>
      </c>
      <c r="C77" s="15">
        <v>2</v>
      </c>
      <c r="D77" s="15" t="s">
        <v>499</v>
      </c>
      <c r="E77" s="21">
        <v>44477</v>
      </c>
    </row>
    <row r="78" spans="1:5" x14ac:dyDescent="0.25">
      <c r="A78" t="s">
        <v>170</v>
      </c>
      <c r="B78" s="2" t="str">
        <f>_xlfn.XLOOKUP(A78,MAIN!A:A,MAIN!B:B)</f>
        <v>DAC</v>
      </c>
      <c r="C78" s="15">
        <v>2</v>
      </c>
      <c r="D78" s="15" t="s">
        <v>499</v>
      </c>
      <c r="E78" s="21">
        <v>44477</v>
      </c>
    </row>
    <row r="79" spans="1:5" x14ac:dyDescent="0.25">
      <c r="A79" t="s">
        <v>371</v>
      </c>
      <c r="B79" s="2" t="str">
        <f>_xlfn.XLOOKUP(A79,MAIN!A:A,MAIN!B:B)</f>
        <v>LS</v>
      </c>
      <c r="C79" s="15">
        <v>5</v>
      </c>
      <c r="D79" s="15" t="s">
        <v>499</v>
      </c>
      <c r="E79" s="21">
        <v>44477</v>
      </c>
    </row>
    <row r="80" spans="1:5" x14ac:dyDescent="0.25">
      <c r="A80" t="s">
        <v>470</v>
      </c>
      <c r="B80" s="2" t="str">
        <f>_xlfn.XLOOKUP(A80,MAIN!A:A,MAIN!B:B)</f>
        <v>OP</v>
      </c>
      <c r="C80" s="15">
        <v>2</v>
      </c>
      <c r="D80" s="15" t="s">
        <v>499</v>
      </c>
      <c r="E80" s="21">
        <v>44477</v>
      </c>
    </row>
    <row r="81" spans="1:5" x14ac:dyDescent="0.25">
      <c r="A81" t="s">
        <v>228</v>
      </c>
      <c r="B81" s="2" t="str">
        <f>_xlfn.XLOOKUP(A81,MAIN!A:A,MAIN!B:B)</f>
        <v>OP</v>
      </c>
      <c r="C81" s="15">
        <v>5</v>
      </c>
      <c r="D81" s="15" t="s">
        <v>499</v>
      </c>
      <c r="E81" s="21">
        <v>44481</v>
      </c>
    </row>
    <row r="82" spans="1:5" x14ac:dyDescent="0.25">
      <c r="A82" t="s">
        <v>275</v>
      </c>
      <c r="B82" s="2" t="str">
        <f>_xlfn.XLOOKUP(A82,MAIN!A:A,MAIN!B:B)</f>
        <v>LDO</v>
      </c>
      <c r="C82" s="15">
        <v>2</v>
      </c>
      <c r="D82" s="15" t="s">
        <v>499</v>
      </c>
      <c r="E82" s="21">
        <v>44481</v>
      </c>
    </row>
    <row r="83" spans="1:5" x14ac:dyDescent="0.25">
      <c r="A83" t="s">
        <v>308</v>
      </c>
      <c r="B83" s="2" t="str">
        <f>_xlfn.XLOOKUP(A83,MAIN!A:A,MAIN!B:B)</f>
        <v>LDO</v>
      </c>
      <c r="C83" s="15">
        <v>1</v>
      </c>
      <c r="D83" s="15" t="s">
        <v>499</v>
      </c>
      <c r="E83" s="21">
        <v>44481</v>
      </c>
    </row>
    <row r="84" spans="1:5" x14ac:dyDescent="0.25">
      <c r="A84" t="s">
        <v>459</v>
      </c>
      <c r="B84" s="2" t="str">
        <f>_xlfn.XLOOKUP(A84,MAIN!A:A,MAIN!B:B)</f>
        <v>LDO</v>
      </c>
      <c r="C84" s="15">
        <v>2</v>
      </c>
      <c r="D84" s="15" t="s">
        <v>499</v>
      </c>
      <c r="E84" s="21">
        <v>44481</v>
      </c>
    </row>
    <row r="85" spans="1:5" x14ac:dyDescent="0.25">
      <c r="A85" t="s">
        <v>437</v>
      </c>
      <c r="B85" s="2" t="str">
        <f>_xlfn.XLOOKUP(A85,MAIN!A:A,MAIN!B:B)</f>
        <v>LDO</v>
      </c>
      <c r="C85" s="15">
        <v>2</v>
      </c>
      <c r="D85" s="15" t="s">
        <v>499</v>
      </c>
      <c r="E85" s="21">
        <v>44481</v>
      </c>
    </row>
    <row r="86" spans="1:5" x14ac:dyDescent="0.25">
      <c r="A86" t="s">
        <v>442</v>
      </c>
      <c r="B86" s="2" t="str">
        <f>_xlfn.XLOOKUP(A86,MAIN!A:A,MAIN!B:B)</f>
        <v>LDO</v>
      </c>
      <c r="C86" s="15">
        <v>2</v>
      </c>
      <c r="D86" s="15" t="s">
        <v>499</v>
      </c>
      <c r="E86" s="21">
        <v>44481</v>
      </c>
    </row>
    <row r="87" spans="1:5" x14ac:dyDescent="0.25">
      <c r="A87" t="s">
        <v>383</v>
      </c>
      <c r="B87" s="2" t="str">
        <f>_xlfn.XLOOKUP(A87,MAIN!A:A,MAIN!B:B)</f>
        <v>LDO</v>
      </c>
      <c r="C87" s="15">
        <v>2</v>
      </c>
      <c r="D87" s="15" t="s">
        <v>499</v>
      </c>
      <c r="E87" s="21">
        <v>44481</v>
      </c>
    </row>
    <row r="88" spans="1:5" x14ac:dyDescent="0.25">
      <c r="A88" t="s">
        <v>423</v>
      </c>
      <c r="B88" s="2" t="str">
        <f>_xlfn.XLOOKUP(A88,MAIN!A:A,MAIN!B:B)</f>
        <v>XTAL</v>
      </c>
      <c r="C88" s="15">
        <v>2</v>
      </c>
      <c r="D88" s="15" t="s">
        <v>499</v>
      </c>
      <c r="E88" s="21">
        <v>44481</v>
      </c>
    </row>
    <row r="89" spans="1:5" x14ac:dyDescent="0.25">
      <c r="A89" t="s">
        <v>443</v>
      </c>
      <c r="B89" s="2" t="str">
        <f>_xlfn.XLOOKUP(A89,MAIN!A:A,MAIN!B:B)</f>
        <v>OP</v>
      </c>
      <c r="C89" s="15">
        <v>2</v>
      </c>
      <c r="D89" s="15" t="s">
        <v>499</v>
      </c>
      <c r="E89" s="21">
        <v>44481</v>
      </c>
    </row>
    <row r="90" spans="1:5" x14ac:dyDescent="0.25">
      <c r="A90" s="1" t="s">
        <v>158</v>
      </c>
      <c r="B90" s="2" t="str">
        <f>_xlfn.XLOOKUP(A90,MAIN!A:A,MAIN!B:B)</f>
        <v>SENSOR</v>
      </c>
      <c r="C90" s="15">
        <v>1</v>
      </c>
      <c r="D90" s="15" t="s">
        <v>499</v>
      </c>
      <c r="E90" s="21">
        <v>44481</v>
      </c>
    </row>
    <row r="91" spans="1:5" x14ac:dyDescent="0.25">
      <c r="A91" t="s">
        <v>267</v>
      </c>
      <c r="B91" s="2" t="str">
        <f>_xlfn.XLOOKUP(A91,MAIN!A:A,MAIN!B:B)</f>
        <v>MOS</v>
      </c>
      <c r="C91" s="15">
        <v>2</v>
      </c>
      <c r="D91" s="15" t="s">
        <v>499</v>
      </c>
      <c r="E91" s="21">
        <v>44481</v>
      </c>
    </row>
    <row r="92" spans="1:5" x14ac:dyDescent="0.25">
      <c r="A92" t="s">
        <v>129</v>
      </c>
      <c r="B92" s="2" t="str">
        <f>_xlfn.XLOOKUP(A92,MAIN!A:A,MAIN!B:B)</f>
        <v>LED</v>
      </c>
      <c r="C92" s="15">
        <v>6</v>
      </c>
      <c r="D92" s="15" t="s">
        <v>499</v>
      </c>
      <c r="E92" s="21">
        <v>44481</v>
      </c>
    </row>
    <row r="93" spans="1:5" x14ac:dyDescent="0.25">
      <c r="A93" t="s">
        <v>51</v>
      </c>
      <c r="B93" s="2" t="str">
        <f>_xlfn.XLOOKUP(A93,MAIN!A:A,MAIN!B:B)</f>
        <v>LS</v>
      </c>
      <c r="C93" s="15">
        <v>2</v>
      </c>
      <c r="D93" s="15" t="s">
        <v>499</v>
      </c>
      <c r="E93" s="21">
        <v>44481</v>
      </c>
    </row>
    <row r="94" spans="1:5" x14ac:dyDescent="0.25">
      <c r="A94" t="s">
        <v>191</v>
      </c>
      <c r="B94" s="2" t="str">
        <f>_xlfn.XLOOKUP(A94,MAIN!A:A,MAIN!B:B)</f>
        <v>L</v>
      </c>
      <c r="C94" s="15">
        <v>14</v>
      </c>
      <c r="D94" s="15" t="s">
        <v>499</v>
      </c>
      <c r="E94" s="21">
        <v>44481</v>
      </c>
    </row>
    <row r="95" spans="1:5" x14ac:dyDescent="0.25">
      <c r="A95" t="s">
        <v>262</v>
      </c>
      <c r="B95" s="2" t="str">
        <f>_xlfn.XLOOKUP(A95,MAIN!A:A,MAIN!B:B)</f>
        <v>R</v>
      </c>
      <c r="C95" s="15">
        <v>36</v>
      </c>
      <c r="D95" s="15" t="s">
        <v>499</v>
      </c>
      <c r="E95" s="21">
        <v>44481</v>
      </c>
    </row>
    <row r="96" spans="1:5" x14ac:dyDescent="0.25">
      <c r="A96" t="s">
        <v>258</v>
      </c>
      <c r="B96" s="2" t="str">
        <f>_xlfn.XLOOKUP(A96,MAIN!A:A,MAIN!B:B)</f>
        <v>R</v>
      </c>
      <c r="C96" s="15">
        <v>34</v>
      </c>
      <c r="D96" s="15" t="s">
        <v>499</v>
      </c>
      <c r="E96" s="21">
        <v>44481</v>
      </c>
    </row>
    <row r="97" spans="1:5" x14ac:dyDescent="0.25">
      <c r="A97" t="s">
        <v>374</v>
      </c>
      <c r="B97" s="2" t="str">
        <f>_xlfn.XLOOKUP(A97,MAIN!A:A,MAIN!B:B)</f>
        <v>CON</v>
      </c>
      <c r="C97" s="15">
        <v>1</v>
      </c>
      <c r="D97" s="15" t="s">
        <v>499</v>
      </c>
      <c r="E97" s="21">
        <v>44489</v>
      </c>
    </row>
    <row r="98" spans="1:5" x14ac:dyDescent="0.25">
      <c r="A98" t="s">
        <v>191</v>
      </c>
      <c r="B98" s="2" t="str">
        <f>_xlfn.XLOOKUP(A98,MAIN!A:A,MAIN!B:B)</f>
        <v>L</v>
      </c>
      <c r="C98" s="15">
        <v>4</v>
      </c>
      <c r="D98" s="15" t="s">
        <v>554</v>
      </c>
      <c r="E98" s="21">
        <v>44490</v>
      </c>
    </row>
    <row r="99" spans="1:5" x14ac:dyDescent="0.25">
      <c r="A99" t="s">
        <v>311</v>
      </c>
      <c r="B99" s="2" t="str">
        <f>_xlfn.XLOOKUP(A99,MAIN!A:A,MAIN!B:B)</f>
        <v>C</v>
      </c>
      <c r="C99" s="15">
        <v>6</v>
      </c>
      <c r="D99" s="15" t="s">
        <v>554</v>
      </c>
      <c r="E99" s="21">
        <v>44490</v>
      </c>
    </row>
    <row r="100" spans="1:5" x14ac:dyDescent="0.25">
      <c r="A100" t="s">
        <v>316</v>
      </c>
      <c r="B100" s="2" t="str">
        <f>_xlfn.XLOOKUP(A100,MAIN!A:A,MAIN!B:B)</f>
        <v>R</v>
      </c>
      <c r="C100" s="15">
        <v>1</v>
      </c>
      <c r="D100" s="15" t="s">
        <v>554</v>
      </c>
      <c r="E100" s="21">
        <v>44490</v>
      </c>
    </row>
    <row r="101" spans="1:5" x14ac:dyDescent="0.25">
      <c r="A101" t="s">
        <v>457</v>
      </c>
      <c r="B101" s="2" t="str">
        <f>_xlfn.XLOOKUP(A101,MAIN!A:A,MAIN!B:B)</f>
        <v>R</v>
      </c>
      <c r="C101" s="15">
        <v>3</v>
      </c>
      <c r="D101" s="15" t="s">
        <v>554</v>
      </c>
      <c r="E101" s="21">
        <v>44490</v>
      </c>
    </row>
    <row r="102" spans="1:5" x14ac:dyDescent="0.25">
      <c r="A102" t="s">
        <v>280</v>
      </c>
      <c r="B102" s="2" t="str">
        <f>_xlfn.XLOOKUP(A102,MAIN!A:A,MAIN!B:B)</f>
        <v>SENSOR</v>
      </c>
      <c r="C102" s="15">
        <v>1</v>
      </c>
      <c r="D102" s="15" t="s">
        <v>558</v>
      </c>
      <c r="E102" s="21">
        <v>44502</v>
      </c>
    </row>
    <row r="103" spans="1:5" x14ac:dyDescent="0.25">
      <c r="A103" t="s">
        <v>113</v>
      </c>
      <c r="B103" s="2" t="str">
        <f>_xlfn.XLOOKUP(A103,MAIN!A:A,MAIN!B:B)</f>
        <v>C</v>
      </c>
      <c r="C103" s="15">
        <v>3</v>
      </c>
      <c r="D103" s="15" t="s">
        <v>558</v>
      </c>
      <c r="E103" s="21">
        <v>44502</v>
      </c>
    </row>
    <row r="104" spans="1:5" x14ac:dyDescent="0.25">
      <c r="A104" t="s">
        <v>211</v>
      </c>
      <c r="B104" s="2" t="str">
        <f>_xlfn.XLOOKUP(A104,MAIN!A:A,MAIN!B:B)</f>
        <v>C</v>
      </c>
      <c r="C104" s="15">
        <v>1</v>
      </c>
      <c r="D104" s="15" t="s">
        <v>558</v>
      </c>
      <c r="E104" s="21">
        <v>44502</v>
      </c>
    </row>
    <row r="105" spans="1:5" x14ac:dyDescent="0.25">
      <c r="A105" t="s">
        <v>283</v>
      </c>
      <c r="B105" s="2" t="str">
        <f>_xlfn.XLOOKUP(A105,MAIN!A:A,MAIN!B:B)</f>
        <v>PCB</v>
      </c>
      <c r="C105" s="15">
        <v>1</v>
      </c>
      <c r="D105" s="15" t="s">
        <v>558</v>
      </c>
      <c r="E105" s="21">
        <v>44502</v>
      </c>
    </row>
    <row r="106" spans="1:5" x14ac:dyDescent="0.25">
      <c r="A106" t="s">
        <v>231</v>
      </c>
      <c r="B106" s="2" t="str">
        <f>_xlfn.XLOOKUP(A106,MAIN!A:A,MAIN!B:B)</f>
        <v>OP</v>
      </c>
      <c r="C106" s="15">
        <v>2</v>
      </c>
      <c r="D106" s="15" t="s">
        <v>499</v>
      </c>
      <c r="E106" s="21">
        <v>44518</v>
      </c>
    </row>
    <row r="107" spans="1:5" x14ac:dyDescent="0.25">
      <c r="A107" t="s">
        <v>374</v>
      </c>
      <c r="B107" s="2" t="str">
        <f>_xlfn.XLOOKUP(A107,MAIN!A:A,MAIN!B:B)</f>
        <v>CON</v>
      </c>
      <c r="C107" s="15">
        <v>1</v>
      </c>
      <c r="D107" s="15" t="s">
        <v>499</v>
      </c>
      <c r="E107" s="21">
        <v>44518</v>
      </c>
    </row>
    <row r="108" spans="1:5" x14ac:dyDescent="0.25">
      <c r="A108" t="s">
        <v>184</v>
      </c>
      <c r="B108" s="2" t="str">
        <f>_xlfn.XLOOKUP(A108,MAIN!A:A,MAIN!B:B)</f>
        <v>CON</v>
      </c>
      <c r="C108" s="15">
        <v>2</v>
      </c>
      <c r="D108" s="15" t="s">
        <v>499</v>
      </c>
      <c r="E108" s="21">
        <v>44518</v>
      </c>
    </row>
    <row r="109" spans="1:5" x14ac:dyDescent="0.25">
      <c r="A109" t="s">
        <v>185</v>
      </c>
      <c r="B109" s="2" t="str">
        <f>_xlfn.XLOOKUP(A109,MAIN!A:A,MAIN!B:B)</f>
        <v>CON</v>
      </c>
      <c r="C109" s="15">
        <v>2</v>
      </c>
      <c r="D109" s="15" t="s">
        <v>499</v>
      </c>
      <c r="E109" s="21">
        <v>44518</v>
      </c>
    </row>
    <row r="110" spans="1:5" x14ac:dyDescent="0.25">
      <c r="A110" t="s">
        <v>113</v>
      </c>
      <c r="B110" s="2" t="str">
        <f>_xlfn.XLOOKUP(A110,MAIN!A:A,MAIN!B:B)</f>
        <v>C</v>
      </c>
      <c r="C110" s="15">
        <v>1</v>
      </c>
      <c r="D110" s="15" t="s">
        <v>499</v>
      </c>
      <c r="E110" s="21">
        <v>44518</v>
      </c>
    </row>
    <row r="111" spans="1:5" x14ac:dyDescent="0.25">
      <c r="A111" t="s">
        <v>231</v>
      </c>
      <c r="B111" s="2" t="str">
        <f>_xlfn.XLOOKUP(A111,MAIN!A:A,MAIN!B:B)</f>
        <v>OP</v>
      </c>
      <c r="C111" s="15">
        <v>11</v>
      </c>
      <c r="D111" s="15" t="s">
        <v>499</v>
      </c>
      <c r="E111" s="21">
        <v>44518</v>
      </c>
    </row>
    <row r="112" spans="1:5" x14ac:dyDescent="0.25">
      <c r="A112" t="s">
        <v>93</v>
      </c>
      <c r="B112" s="2" t="str">
        <f>_xlfn.XLOOKUP(A112,MAIN!A:A,MAIN!B:B)</f>
        <v>CON</v>
      </c>
      <c r="C112" s="15">
        <v>1</v>
      </c>
      <c r="D112" s="15" t="s">
        <v>29</v>
      </c>
      <c r="E112" s="21">
        <v>44547</v>
      </c>
    </row>
    <row r="113" spans="1:5" x14ac:dyDescent="0.25">
      <c r="A113" t="s">
        <v>57</v>
      </c>
      <c r="B113" s="2" t="str">
        <f>_xlfn.XLOOKUP(A113,MAIN!A:A,MAIN!B:B)</f>
        <v>C</v>
      </c>
      <c r="C113" s="15">
        <v>3</v>
      </c>
      <c r="D113" s="15" t="s">
        <v>29</v>
      </c>
      <c r="E113" s="21">
        <v>44547</v>
      </c>
    </row>
    <row r="114" spans="1:5" x14ac:dyDescent="0.25">
      <c r="A114" t="s">
        <v>14</v>
      </c>
      <c r="B114" s="2" t="str">
        <f>_xlfn.XLOOKUP(A114,MAIN!A:A,MAIN!B:B)</f>
        <v>POW</v>
      </c>
      <c r="C114" s="15">
        <v>2</v>
      </c>
      <c r="D114" s="15" t="s">
        <v>29</v>
      </c>
      <c r="E114" s="21">
        <v>44547</v>
      </c>
    </row>
    <row r="115" spans="1:5" x14ac:dyDescent="0.25">
      <c r="A115" t="s">
        <v>146</v>
      </c>
      <c r="B115" s="2" t="str">
        <f>_xlfn.XLOOKUP(A115,MAIN!A:A,MAIN!B:B)</f>
        <v>D</v>
      </c>
      <c r="C115" s="15">
        <v>2</v>
      </c>
      <c r="D115" s="15" t="s">
        <v>29</v>
      </c>
      <c r="E115" s="21">
        <v>44547</v>
      </c>
    </row>
    <row r="116" spans="1:5" x14ac:dyDescent="0.25">
      <c r="A116" t="s">
        <v>64</v>
      </c>
      <c r="B116" s="2" t="str">
        <f>_xlfn.XLOOKUP(A116,MAIN!A:A,MAIN!B:B)</f>
        <v>L</v>
      </c>
      <c r="C116" s="15">
        <v>2</v>
      </c>
      <c r="D116" s="15" t="s">
        <v>29</v>
      </c>
      <c r="E116" s="21">
        <v>44547</v>
      </c>
    </row>
    <row r="117" spans="1:5" x14ac:dyDescent="0.25">
      <c r="A117" t="s">
        <v>191</v>
      </c>
      <c r="B117" s="2" t="str">
        <f>_xlfn.XLOOKUP(A117,MAIN!A:A,MAIN!B:B)</f>
        <v>L</v>
      </c>
      <c r="C117" s="15">
        <v>1</v>
      </c>
      <c r="D117" s="15" t="s">
        <v>29</v>
      </c>
      <c r="E117" s="21">
        <v>44547</v>
      </c>
    </row>
    <row r="118" spans="1:5" x14ac:dyDescent="0.25">
      <c r="A118" t="s">
        <v>129</v>
      </c>
      <c r="B118" s="2" t="str">
        <f>_xlfn.XLOOKUP(A118,MAIN!A:A,MAIN!B:B)</f>
        <v>LED</v>
      </c>
      <c r="C118" s="15">
        <v>3</v>
      </c>
      <c r="D118" s="15" t="s">
        <v>29</v>
      </c>
      <c r="E118" s="21">
        <v>44547</v>
      </c>
    </row>
    <row r="119" spans="1:5" x14ac:dyDescent="0.25">
      <c r="A119" t="s">
        <v>96</v>
      </c>
      <c r="B119" s="2" t="str">
        <f>_xlfn.XLOOKUP(A119,MAIN!A:A,MAIN!B:B)</f>
        <v>CON</v>
      </c>
      <c r="C119" s="15">
        <v>2</v>
      </c>
      <c r="D119" s="15" t="s">
        <v>29</v>
      </c>
      <c r="E119" s="21">
        <v>44547</v>
      </c>
    </row>
    <row r="120" spans="1:5" x14ac:dyDescent="0.25">
      <c r="A120" t="s">
        <v>113</v>
      </c>
      <c r="B120" s="2" t="str">
        <f>_xlfn.XLOOKUP(A120,MAIN!A:A,MAIN!B:B)</f>
        <v>C</v>
      </c>
      <c r="C120" s="15">
        <v>6</v>
      </c>
      <c r="D120" s="15" t="s">
        <v>29</v>
      </c>
      <c r="E120" s="21">
        <v>44547</v>
      </c>
    </row>
    <row r="121" spans="1:5" x14ac:dyDescent="0.25">
      <c r="A121" t="s">
        <v>203</v>
      </c>
      <c r="B121" s="2" t="str">
        <f>_xlfn.XLOOKUP(A121,MAIN!A:A,MAIN!B:B)</f>
        <v>CON</v>
      </c>
      <c r="C121" s="15">
        <v>1</v>
      </c>
      <c r="D121" s="15" t="s">
        <v>29</v>
      </c>
      <c r="E121" s="21">
        <v>44547</v>
      </c>
    </row>
    <row r="122" spans="1:5" x14ac:dyDescent="0.25">
      <c r="A122" t="s">
        <v>135</v>
      </c>
      <c r="B122" s="2" t="str">
        <f>_xlfn.XLOOKUP(A122,MAIN!A:A,MAIN!B:B)</f>
        <v>OP</v>
      </c>
      <c r="C122" s="15">
        <v>1</v>
      </c>
      <c r="D122" s="15" t="s">
        <v>29</v>
      </c>
      <c r="E122" s="21">
        <v>44547</v>
      </c>
    </row>
    <row r="123" spans="1:5" x14ac:dyDescent="0.25">
      <c r="A123" t="s">
        <v>137</v>
      </c>
      <c r="B123" s="2" t="str">
        <f>_xlfn.XLOOKUP(A123,MAIN!A:A,MAIN!B:B)</f>
        <v>D</v>
      </c>
      <c r="C123" s="15">
        <v>1</v>
      </c>
      <c r="D123" s="15" t="s">
        <v>29</v>
      </c>
      <c r="E123" s="21">
        <v>44547</v>
      </c>
    </row>
    <row r="124" spans="1:5" x14ac:dyDescent="0.25">
      <c r="A124" t="s">
        <v>93</v>
      </c>
      <c r="B124" s="2" t="str">
        <f>_xlfn.XLOOKUP(A124,MAIN!A:A,MAIN!B:B)</f>
        <v>CON</v>
      </c>
      <c r="C124" s="15">
        <v>2</v>
      </c>
      <c r="D124" s="15" t="s">
        <v>29</v>
      </c>
      <c r="E124" s="21">
        <v>44547</v>
      </c>
    </row>
    <row r="125" spans="1:5" x14ac:dyDescent="0.25">
      <c r="A125" t="s">
        <v>14</v>
      </c>
      <c r="B125" s="2" t="str">
        <f>_xlfn.XLOOKUP(A125,MAIN!A:A,MAIN!B:B)</f>
        <v>POW</v>
      </c>
      <c r="C125" s="15">
        <v>4</v>
      </c>
      <c r="D125" s="15" t="s">
        <v>29</v>
      </c>
      <c r="E125" s="21">
        <v>44547</v>
      </c>
    </row>
    <row r="126" spans="1:5" x14ac:dyDescent="0.25">
      <c r="A126" t="s">
        <v>57</v>
      </c>
      <c r="B126" s="2" t="str">
        <f>_xlfn.XLOOKUP(A126,MAIN!A:A,MAIN!B:B)</f>
        <v>C</v>
      </c>
      <c r="C126" s="15">
        <v>6</v>
      </c>
      <c r="D126" s="15" t="s">
        <v>29</v>
      </c>
      <c r="E126" s="21">
        <v>44547</v>
      </c>
    </row>
    <row r="127" spans="1:5" x14ac:dyDescent="0.25">
      <c r="A127" t="s">
        <v>146</v>
      </c>
      <c r="B127" s="2" t="str">
        <f>_xlfn.XLOOKUP(A127,MAIN!A:A,MAIN!B:B)</f>
        <v>D</v>
      </c>
      <c r="C127" s="15">
        <v>4</v>
      </c>
      <c r="D127" s="15" t="s">
        <v>29</v>
      </c>
      <c r="E127" s="21">
        <v>44547</v>
      </c>
    </row>
    <row r="128" spans="1:5" x14ac:dyDescent="0.25">
      <c r="A128" t="s">
        <v>64</v>
      </c>
      <c r="B128" s="2" t="str">
        <f>_xlfn.XLOOKUP(A128,MAIN!A:A,MAIN!B:B)</f>
        <v>L</v>
      </c>
      <c r="C128" s="15">
        <v>4</v>
      </c>
      <c r="D128" s="15" t="s">
        <v>29</v>
      </c>
      <c r="E128" s="21">
        <v>44547</v>
      </c>
    </row>
    <row r="129" spans="1:6" x14ac:dyDescent="0.25">
      <c r="A129" t="s">
        <v>69</v>
      </c>
      <c r="B129" s="2" t="str">
        <f>_xlfn.XLOOKUP(A129,MAIN!A:A,MAIN!B:B)</f>
        <v>C</v>
      </c>
      <c r="C129" s="15">
        <v>6</v>
      </c>
      <c r="D129" s="15" t="s">
        <v>29</v>
      </c>
      <c r="E129" s="21">
        <v>44547</v>
      </c>
    </row>
    <row r="130" spans="1:6" x14ac:dyDescent="0.25">
      <c r="A130" t="s">
        <v>129</v>
      </c>
      <c r="B130" s="2" t="str">
        <f>_xlfn.XLOOKUP(A130,MAIN!A:A,MAIN!B:B)</f>
        <v>LED</v>
      </c>
      <c r="C130" s="15">
        <v>4</v>
      </c>
      <c r="D130" s="15" t="s">
        <v>29</v>
      </c>
      <c r="E130" s="21">
        <v>44547</v>
      </c>
    </row>
    <row r="131" spans="1:6" x14ac:dyDescent="0.25">
      <c r="A131" t="s">
        <v>191</v>
      </c>
      <c r="B131" s="2" t="str">
        <f>_xlfn.XLOOKUP(A131,MAIN!A:A,MAIN!B:B)</f>
        <v>L</v>
      </c>
      <c r="C131" s="15">
        <v>1</v>
      </c>
      <c r="D131" s="15" t="s">
        <v>29</v>
      </c>
      <c r="E131" s="21">
        <v>44547</v>
      </c>
    </row>
    <row r="132" spans="1:6" x14ac:dyDescent="0.25">
      <c r="A132" t="s">
        <v>80</v>
      </c>
      <c r="B132" s="2" t="str">
        <f>_xlfn.XLOOKUP(A132,MAIN!A:A,MAIN!B:B)</f>
        <v>C</v>
      </c>
      <c r="C132" s="15">
        <v>6</v>
      </c>
      <c r="D132" s="15" t="s">
        <v>29</v>
      </c>
      <c r="E132" s="21">
        <v>44547</v>
      </c>
    </row>
    <row r="133" spans="1:6" x14ac:dyDescent="0.25">
      <c r="A133" t="s">
        <v>166</v>
      </c>
      <c r="B133" s="2" t="str">
        <f>_xlfn.XLOOKUP(A133,MAIN!A:A,MAIN!B:B)</f>
        <v>LDO</v>
      </c>
      <c r="C133" s="15">
        <v>2</v>
      </c>
      <c r="D133" s="15" t="s">
        <v>29</v>
      </c>
      <c r="E133" s="21">
        <v>44547</v>
      </c>
    </row>
    <row r="134" spans="1:6" x14ac:dyDescent="0.25">
      <c r="A134" t="s">
        <v>54</v>
      </c>
      <c r="B134" s="2" t="str">
        <f>_xlfn.XLOOKUP(A134,MAIN!A:A,MAIN!B:B)</f>
        <v>LDO</v>
      </c>
      <c r="C134" s="15">
        <v>1</v>
      </c>
      <c r="D134" s="15" t="s">
        <v>29</v>
      </c>
      <c r="E134" s="21">
        <v>44559</v>
      </c>
    </row>
    <row r="135" spans="1:6" x14ac:dyDescent="0.25">
      <c r="A135" t="s">
        <v>80</v>
      </c>
      <c r="B135" s="2" t="str">
        <f>_xlfn.XLOOKUP(A135,MAIN!A:A,MAIN!B:B)</f>
        <v>C</v>
      </c>
      <c r="C135" s="15">
        <v>1</v>
      </c>
      <c r="D135" s="15" t="s">
        <v>29</v>
      </c>
      <c r="E135" s="21">
        <v>44559</v>
      </c>
    </row>
    <row r="136" spans="1:6" x14ac:dyDescent="0.25">
      <c r="A136" t="s">
        <v>113</v>
      </c>
      <c r="B136" s="2" t="str">
        <f>_xlfn.XLOOKUP(A136,MAIN!A:A,MAIN!B:B)</f>
        <v>C</v>
      </c>
      <c r="C136" s="15">
        <v>3</v>
      </c>
      <c r="D136" s="15" t="s">
        <v>29</v>
      </c>
      <c r="E136" s="21">
        <v>44559</v>
      </c>
    </row>
    <row r="137" spans="1:6" x14ac:dyDescent="0.25">
      <c r="A137" t="s">
        <v>51</v>
      </c>
      <c r="B137" s="2" t="str">
        <f>_xlfn.XLOOKUP(A137,MAIN!A:A,MAIN!B:B)</f>
        <v>LS</v>
      </c>
      <c r="C137" s="15">
        <v>2</v>
      </c>
      <c r="D137" s="15" t="s">
        <v>29</v>
      </c>
      <c r="E137" s="21">
        <v>44559</v>
      </c>
    </row>
    <row r="138" spans="1:6" x14ac:dyDescent="0.25">
      <c r="A138" t="s">
        <v>108</v>
      </c>
      <c r="B138" s="2" t="str">
        <f>_xlfn.XLOOKUP(A138,MAIN!A:A,MAIN!B:B)</f>
        <v>MUX</v>
      </c>
      <c r="C138" s="15">
        <v>1</v>
      </c>
      <c r="D138" s="15" t="s">
        <v>29</v>
      </c>
      <c r="E138" s="21">
        <v>44559</v>
      </c>
    </row>
    <row r="139" spans="1:6" x14ac:dyDescent="0.25">
      <c r="A139" t="s">
        <v>280</v>
      </c>
      <c r="B139" s="2" t="str">
        <f>_xlfn.XLOOKUP(A139,MAIN!A:A,MAIN!B:B)</f>
        <v>SENSOR</v>
      </c>
      <c r="C139" s="15">
        <v>9</v>
      </c>
      <c r="D139" s="15" t="s">
        <v>581</v>
      </c>
      <c r="E139" s="21">
        <v>44560</v>
      </c>
      <c r="F139" t="s">
        <v>580</v>
      </c>
    </row>
    <row r="140" spans="1:6" x14ac:dyDescent="0.25">
      <c r="A140" t="s">
        <v>283</v>
      </c>
      <c r="B140" s="2" t="str">
        <f>_xlfn.XLOOKUP(A140,MAIN!A:A,MAIN!B:B)</f>
        <v>PCB</v>
      </c>
      <c r="C140" s="15">
        <v>9</v>
      </c>
      <c r="D140" s="15" t="s">
        <v>581</v>
      </c>
      <c r="E140" s="21">
        <v>44560</v>
      </c>
      <c r="F140" t="s">
        <v>580</v>
      </c>
    </row>
    <row r="141" spans="1:6" x14ac:dyDescent="0.25">
      <c r="A141" t="s">
        <v>33</v>
      </c>
      <c r="B141" s="2" t="str">
        <f>_xlfn.XLOOKUP(A141,MAIN!A:A,MAIN!B:B)</f>
        <v>EVB</v>
      </c>
      <c r="C141" s="15">
        <v>1</v>
      </c>
      <c r="D141" s="15" t="s">
        <v>29</v>
      </c>
    </row>
    <row r="142" spans="1:6" x14ac:dyDescent="0.25">
      <c r="A142" t="s">
        <v>114</v>
      </c>
      <c r="B142" s="2" t="str">
        <f>_xlfn.XLOOKUP(A142,MAIN!A:A,MAIN!B:B)</f>
        <v>EVB</v>
      </c>
      <c r="C142" s="15">
        <v>1</v>
      </c>
      <c r="D142" s="15" t="s">
        <v>29</v>
      </c>
    </row>
    <row r="143" spans="1:6" x14ac:dyDescent="0.25">
      <c r="A143" t="s">
        <v>308</v>
      </c>
      <c r="B143" s="2" t="str">
        <f>_xlfn.XLOOKUP(A143,MAIN!A:A,MAIN!B:B)</f>
        <v>LDO</v>
      </c>
      <c r="C143" s="15">
        <v>1</v>
      </c>
      <c r="D143" s="15" t="s">
        <v>589</v>
      </c>
      <c r="E143" s="42">
        <v>44566</v>
      </c>
    </row>
    <row r="144" spans="1:6" x14ac:dyDescent="0.25">
      <c r="A144" t="s">
        <v>311</v>
      </c>
      <c r="B144" s="2" t="str">
        <f>_xlfn.XLOOKUP(A144,MAIN!A:A,MAIN!B:B)</f>
        <v>C</v>
      </c>
      <c r="C144" s="15">
        <v>30</v>
      </c>
      <c r="D144" s="15" t="s">
        <v>589</v>
      </c>
      <c r="E144" s="21">
        <v>44566</v>
      </c>
    </row>
    <row r="145" spans="1:5" x14ac:dyDescent="0.25">
      <c r="A145" t="s">
        <v>184</v>
      </c>
      <c r="B145" s="2" t="str">
        <f>_xlfn.XLOOKUP(A145,MAIN!A:A,MAIN!B:B)</f>
        <v>CON</v>
      </c>
      <c r="C145" s="15">
        <v>15</v>
      </c>
      <c r="D145" s="15" t="s">
        <v>589</v>
      </c>
      <c r="E145" s="42">
        <v>44566</v>
      </c>
    </row>
    <row r="146" spans="1:5" x14ac:dyDescent="0.25">
      <c r="A146" t="s">
        <v>185</v>
      </c>
      <c r="B146" s="2" t="str">
        <f>_xlfn.XLOOKUP(A146,MAIN!A:A,MAIN!B:B)</f>
        <v>CON</v>
      </c>
      <c r="C146" s="15">
        <v>15</v>
      </c>
      <c r="D146" s="15" t="s">
        <v>589</v>
      </c>
      <c r="E146" s="42">
        <v>44566</v>
      </c>
    </row>
    <row r="147" spans="1:5" x14ac:dyDescent="0.25">
      <c r="A147" t="s">
        <v>228</v>
      </c>
      <c r="B147" s="2" t="str">
        <f>_xlfn.XLOOKUP(A147,MAIN!A:A,MAIN!B:B)</f>
        <v>OP</v>
      </c>
      <c r="C147" s="15">
        <v>10</v>
      </c>
      <c r="D147" s="15" t="s">
        <v>589</v>
      </c>
      <c r="E147" s="42">
        <v>44566</v>
      </c>
    </row>
    <row r="148" spans="1:5" x14ac:dyDescent="0.25">
      <c r="A148" t="s">
        <v>286</v>
      </c>
      <c r="B148" s="2" t="str">
        <f>_xlfn.XLOOKUP(A148,MAIN!A:A,MAIN!B:B)</f>
        <v>D</v>
      </c>
      <c r="C148" s="15">
        <v>6</v>
      </c>
      <c r="D148" s="15" t="s">
        <v>589</v>
      </c>
      <c r="E148" s="42">
        <v>44566</v>
      </c>
    </row>
    <row r="149" spans="1:5" x14ac:dyDescent="0.25">
      <c r="A149" t="s">
        <v>275</v>
      </c>
      <c r="B149" s="2" t="str">
        <f>_xlfn.XLOOKUP(A149,MAIN!A:A,MAIN!B:B)</f>
        <v>LDO</v>
      </c>
      <c r="C149" s="15">
        <v>5</v>
      </c>
      <c r="D149" s="15" t="s">
        <v>589</v>
      </c>
      <c r="E149" s="42">
        <v>44566</v>
      </c>
    </row>
    <row r="150" spans="1:5" x14ac:dyDescent="0.25">
      <c r="A150" t="s">
        <v>383</v>
      </c>
      <c r="B150" s="2" t="str">
        <f>_xlfn.XLOOKUP(A150,MAIN!A:A,MAIN!B:B)</f>
        <v>LDO</v>
      </c>
      <c r="C150" s="15">
        <v>5</v>
      </c>
      <c r="D150" s="15" t="s">
        <v>589</v>
      </c>
      <c r="E150" s="42">
        <v>44566</v>
      </c>
    </row>
    <row r="151" spans="1:5" x14ac:dyDescent="0.25">
      <c r="A151" t="s">
        <v>442</v>
      </c>
      <c r="B151" s="2" t="str">
        <f>_xlfn.XLOOKUP(A151,MAIN!A:A,MAIN!B:B)</f>
        <v>LDO</v>
      </c>
      <c r="C151" s="15">
        <v>5</v>
      </c>
      <c r="D151" s="15" t="s">
        <v>589</v>
      </c>
      <c r="E151" s="42">
        <v>44566</v>
      </c>
    </row>
    <row r="152" spans="1:5" x14ac:dyDescent="0.25">
      <c r="A152" t="s">
        <v>459</v>
      </c>
      <c r="B152" s="2" t="str">
        <f>_xlfn.XLOOKUP(A152,MAIN!A:A,MAIN!B:B)</f>
        <v>LDO</v>
      </c>
      <c r="C152" s="15">
        <v>5</v>
      </c>
      <c r="D152" s="15" t="s">
        <v>589</v>
      </c>
      <c r="E152" s="42">
        <v>44566</v>
      </c>
    </row>
    <row r="153" spans="1:5" x14ac:dyDescent="0.25">
      <c r="A153" t="s">
        <v>308</v>
      </c>
      <c r="B153" s="2" t="str">
        <f>_xlfn.XLOOKUP(A153,MAIN!A:A,MAIN!B:B)</f>
        <v>LDO</v>
      </c>
      <c r="C153" s="15">
        <v>5</v>
      </c>
      <c r="D153" s="15" t="s">
        <v>589</v>
      </c>
      <c r="E153" s="42">
        <v>44566</v>
      </c>
    </row>
    <row r="154" spans="1:5" x14ac:dyDescent="0.25">
      <c r="A154" t="s">
        <v>158</v>
      </c>
      <c r="B154" s="2" t="str">
        <f>_xlfn.XLOOKUP(A154,MAIN!A:A,MAIN!B:B)</f>
        <v>SENSOR</v>
      </c>
      <c r="C154" s="15">
        <v>5</v>
      </c>
      <c r="D154" s="15" t="s">
        <v>589</v>
      </c>
      <c r="E154" s="42">
        <v>44566</v>
      </c>
    </row>
    <row r="155" spans="1:5" x14ac:dyDescent="0.25">
      <c r="A155" t="s">
        <v>437</v>
      </c>
      <c r="B155" s="2" t="str">
        <f>_xlfn.XLOOKUP(A155,MAIN!A:A,MAIN!B:B)</f>
        <v>LDO</v>
      </c>
      <c r="C155" s="15">
        <v>5</v>
      </c>
      <c r="D155" s="15" t="s">
        <v>589</v>
      </c>
      <c r="E155" s="42">
        <v>44566</v>
      </c>
    </row>
    <row r="156" spans="1:5" x14ac:dyDescent="0.25">
      <c r="A156" t="s">
        <v>267</v>
      </c>
      <c r="B156" s="2" t="str">
        <f>_xlfn.XLOOKUP(A156,MAIN!A:A,MAIN!B:B)</f>
        <v>MOS</v>
      </c>
      <c r="C156" s="15">
        <v>6</v>
      </c>
      <c r="D156" s="15" t="s">
        <v>589</v>
      </c>
      <c r="E156" s="42">
        <v>44566</v>
      </c>
    </row>
    <row r="157" spans="1:5" x14ac:dyDescent="0.25">
      <c r="A157" t="s">
        <v>191</v>
      </c>
      <c r="B157" s="2" t="str">
        <f>_xlfn.XLOOKUP(A157,MAIN!A:A,MAIN!B:B)</f>
        <v>L</v>
      </c>
      <c r="C157" s="15">
        <v>55</v>
      </c>
      <c r="D157" s="15" t="s">
        <v>589</v>
      </c>
      <c r="E157" s="42">
        <v>44566</v>
      </c>
    </row>
    <row r="158" spans="1:5" x14ac:dyDescent="0.25">
      <c r="A158" t="s">
        <v>129</v>
      </c>
      <c r="B158" s="2" t="str">
        <f>_xlfn.XLOOKUP(A158,MAIN!A:A,MAIN!B:B)</f>
        <v>LED</v>
      </c>
      <c r="C158" s="15">
        <v>15</v>
      </c>
      <c r="D158" s="15" t="s">
        <v>589</v>
      </c>
      <c r="E158" s="42">
        <v>44566</v>
      </c>
    </row>
    <row r="159" spans="1:5" x14ac:dyDescent="0.25">
      <c r="A159" t="s">
        <v>316</v>
      </c>
      <c r="B159" s="2" t="str">
        <f>_xlfn.XLOOKUP(A159,MAIN!A:A,MAIN!B:B)</f>
        <v>R</v>
      </c>
      <c r="C159" s="15">
        <v>5</v>
      </c>
      <c r="D159" s="15" t="s">
        <v>589</v>
      </c>
      <c r="E159" s="42">
        <v>44566</v>
      </c>
    </row>
    <row r="160" spans="1:5" x14ac:dyDescent="0.25">
      <c r="A160" t="s">
        <v>457</v>
      </c>
      <c r="B160" s="2" t="str">
        <f>_xlfn.XLOOKUP(A160,MAIN!A:A,MAIN!B:B)</f>
        <v>R</v>
      </c>
      <c r="C160" s="15">
        <v>15</v>
      </c>
      <c r="D160" s="15" t="s">
        <v>589</v>
      </c>
      <c r="E160" s="42">
        <v>44566</v>
      </c>
    </row>
    <row r="161" spans="1:5" x14ac:dyDescent="0.25">
      <c r="A161" t="s">
        <v>214</v>
      </c>
      <c r="B161" s="2" t="str">
        <f>_xlfn.XLOOKUP(A161,MAIN!A:A,MAIN!B:B)</f>
        <v>C</v>
      </c>
      <c r="C161" s="15">
        <v>5</v>
      </c>
      <c r="D161" s="15" t="s">
        <v>589</v>
      </c>
      <c r="E161" s="42">
        <v>44566</v>
      </c>
    </row>
    <row r="162" spans="1:5" x14ac:dyDescent="0.25">
      <c r="A162" t="s">
        <v>268</v>
      </c>
      <c r="B162" s="2" t="str">
        <f>_xlfn.XLOOKUP(A162,MAIN!A:A,MAIN!B:B)</f>
        <v>C</v>
      </c>
      <c r="C162" s="15">
        <v>5</v>
      </c>
      <c r="D162" s="15" t="s">
        <v>589</v>
      </c>
      <c r="E162" s="42">
        <v>44566</v>
      </c>
    </row>
    <row r="163" spans="1:5" x14ac:dyDescent="0.25">
      <c r="A163" t="s">
        <v>270</v>
      </c>
      <c r="B163" s="2" t="str">
        <f>_xlfn.XLOOKUP(A163,MAIN!A:A,MAIN!B:B)</f>
        <v>C</v>
      </c>
      <c r="C163" s="15">
        <v>10</v>
      </c>
      <c r="D163" s="15" t="s">
        <v>589</v>
      </c>
      <c r="E163" s="42">
        <v>44566</v>
      </c>
    </row>
    <row r="164" spans="1:5" x14ac:dyDescent="0.25">
      <c r="A164" t="s">
        <v>325</v>
      </c>
      <c r="B164" s="2" t="str">
        <f>_xlfn.XLOOKUP(A164,MAIN!A:A,MAIN!B:B)</f>
        <v>D</v>
      </c>
      <c r="C164" s="15">
        <v>5</v>
      </c>
      <c r="D164" s="15" t="s">
        <v>589</v>
      </c>
      <c r="E164" s="42">
        <v>44566</v>
      </c>
    </row>
    <row r="165" spans="1:5" x14ac:dyDescent="0.25">
      <c r="A165" t="s">
        <v>327</v>
      </c>
      <c r="B165" s="2" t="str">
        <f>_xlfn.XLOOKUP(A165,MAIN!A:A,MAIN!B:B)</f>
        <v>D</v>
      </c>
      <c r="C165" s="15">
        <v>5</v>
      </c>
      <c r="D165" s="15" t="s">
        <v>589</v>
      </c>
      <c r="E165" s="42">
        <v>44566</v>
      </c>
    </row>
    <row r="166" spans="1:5" x14ac:dyDescent="0.25">
      <c r="A166" t="s">
        <v>175</v>
      </c>
      <c r="B166" s="2" t="str">
        <f>_xlfn.XLOOKUP(A166,MAIN!A:A,MAIN!B:B)</f>
        <v>FPGA</v>
      </c>
      <c r="C166" s="15">
        <v>5</v>
      </c>
      <c r="D166" s="15" t="s">
        <v>589</v>
      </c>
      <c r="E166" s="42">
        <v>44566</v>
      </c>
    </row>
    <row r="167" spans="1:5" x14ac:dyDescent="0.25">
      <c r="A167" t="s">
        <v>390</v>
      </c>
      <c r="B167" s="2" t="str">
        <f>_xlfn.XLOOKUP(A167,MAIN!A:A,MAIN!B:B)</f>
        <v>MEM</v>
      </c>
      <c r="C167" s="15">
        <v>5</v>
      </c>
      <c r="D167" s="15" t="s">
        <v>589</v>
      </c>
      <c r="E167" s="42">
        <v>44566</v>
      </c>
    </row>
    <row r="168" spans="1:5" x14ac:dyDescent="0.25">
      <c r="A168" t="s">
        <v>389</v>
      </c>
      <c r="B168" s="2" t="str">
        <f>_xlfn.XLOOKUP(A168,MAIN!A:A,MAIN!B:B)</f>
        <v>MEM</v>
      </c>
      <c r="C168" s="15">
        <v>5</v>
      </c>
      <c r="D168" s="15" t="s">
        <v>589</v>
      </c>
      <c r="E168" s="42">
        <v>44566</v>
      </c>
    </row>
    <row r="169" spans="1:5" x14ac:dyDescent="0.25">
      <c r="A169" t="s">
        <v>169</v>
      </c>
      <c r="B169" s="2" t="str">
        <f>_xlfn.XLOOKUP(A169,MAIN!A:A,MAIN!B:B)</f>
        <v>ADC</v>
      </c>
      <c r="C169" s="15">
        <v>5</v>
      </c>
      <c r="D169" s="15" t="s">
        <v>589</v>
      </c>
      <c r="E169" s="42">
        <v>44566</v>
      </c>
    </row>
    <row r="170" spans="1:5" x14ac:dyDescent="0.25">
      <c r="A170" t="s">
        <v>170</v>
      </c>
      <c r="B170" s="2" t="str">
        <f>_xlfn.XLOOKUP(A170,MAIN!A:A,MAIN!B:B)</f>
        <v>DAC</v>
      </c>
      <c r="C170" s="15">
        <v>5</v>
      </c>
      <c r="D170" s="15" t="s">
        <v>589</v>
      </c>
      <c r="E170" s="42">
        <v>44566</v>
      </c>
    </row>
    <row r="171" spans="1:5" x14ac:dyDescent="0.25">
      <c r="A171" t="s">
        <v>371</v>
      </c>
      <c r="B171" s="2" t="str">
        <f>_xlfn.XLOOKUP(A171,MAIN!A:A,MAIN!B:B)</f>
        <v>LS</v>
      </c>
      <c r="C171" s="15">
        <v>8</v>
      </c>
      <c r="D171" s="15" t="s">
        <v>589</v>
      </c>
      <c r="E171" s="42">
        <v>44566</v>
      </c>
    </row>
    <row r="172" spans="1:5" x14ac:dyDescent="0.25">
      <c r="A172" t="s">
        <v>231</v>
      </c>
      <c r="B172" s="2" t="str">
        <f>_xlfn.XLOOKUP(A172,MAIN!A:A,MAIN!B:B)</f>
        <v>OP</v>
      </c>
      <c r="C172" s="15">
        <v>5</v>
      </c>
      <c r="D172" s="15" t="s">
        <v>589</v>
      </c>
      <c r="E172" s="42">
        <v>44566</v>
      </c>
    </row>
    <row r="173" spans="1:5" x14ac:dyDescent="0.25">
      <c r="A173" t="s">
        <v>51</v>
      </c>
      <c r="B173" s="2" t="str">
        <f>_xlfn.XLOOKUP(A173,MAIN!A:A,MAIN!B:B)</f>
        <v>LS</v>
      </c>
      <c r="C173" s="15">
        <v>5</v>
      </c>
      <c r="D173" s="15" t="s">
        <v>589</v>
      </c>
      <c r="E173" s="42">
        <v>44566</v>
      </c>
    </row>
    <row r="174" spans="1:5" x14ac:dyDescent="0.25">
      <c r="A174" t="s">
        <v>262</v>
      </c>
      <c r="B174" s="2" t="str">
        <f>_xlfn.XLOOKUP(A174,MAIN!A:A,MAIN!B:B)</f>
        <v>R</v>
      </c>
      <c r="C174" s="15">
        <v>-6</v>
      </c>
      <c r="D174" s="15" t="s">
        <v>589</v>
      </c>
      <c r="E174" s="42">
        <v>44566</v>
      </c>
    </row>
    <row r="175" spans="1:5" x14ac:dyDescent="0.25">
      <c r="A175" t="s">
        <v>258</v>
      </c>
      <c r="B175" s="2" t="str">
        <f>_xlfn.XLOOKUP(A175,MAIN!A:A,MAIN!B:B)</f>
        <v>R</v>
      </c>
      <c r="C175" s="15">
        <v>-4</v>
      </c>
      <c r="D175" s="15" t="s">
        <v>589</v>
      </c>
      <c r="E175" s="42">
        <v>44566</v>
      </c>
    </row>
    <row r="176" spans="1:5" x14ac:dyDescent="0.25">
      <c r="A176" t="s">
        <v>14</v>
      </c>
      <c r="B176" s="2" t="str">
        <f>_xlfn.XLOOKUP(A176,MAIN!A:A,MAIN!B:B)</f>
        <v>POW</v>
      </c>
      <c r="C176" s="15">
        <v>1</v>
      </c>
      <c r="D176" s="15" t="s">
        <v>29</v>
      </c>
      <c r="E176" s="42">
        <v>44567</v>
      </c>
    </row>
    <row r="177" spans="1:5" x14ac:dyDescent="0.25">
      <c r="A177" t="s">
        <v>146</v>
      </c>
      <c r="B177" s="2" t="str">
        <f>_xlfn.XLOOKUP(A177,MAIN!A:A,MAIN!B:B)</f>
        <v>D</v>
      </c>
      <c r="C177" s="15">
        <v>1</v>
      </c>
      <c r="D177" s="15" t="s">
        <v>29</v>
      </c>
      <c r="E177" s="42">
        <v>44567</v>
      </c>
    </row>
    <row r="178" spans="1:5" x14ac:dyDescent="0.25">
      <c r="A178" t="s">
        <v>93</v>
      </c>
      <c r="B178" s="2" t="str">
        <f>_xlfn.XLOOKUP(A178,MAIN!A:A,MAIN!B:B)</f>
        <v>CON</v>
      </c>
      <c r="C178" s="15">
        <v>1</v>
      </c>
      <c r="D178" s="15" t="s">
        <v>29</v>
      </c>
      <c r="E178" s="42">
        <v>44567</v>
      </c>
    </row>
    <row r="179" spans="1:5" x14ac:dyDescent="0.25">
      <c r="A179" t="s">
        <v>108</v>
      </c>
      <c r="B179" s="2" t="str">
        <f>_xlfn.XLOOKUP(A179,MAIN!A:A,MAIN!B:B)</f>
        <v>MUX</v>
      </c>
      <c r="C179" s="15">
        <v>1</v>
      </c>
      <c r="D179" s="15" t="s">
        <v>29</v>
      </c>
      <c r="E179" s="42">
        <v>44567</v>
      </c>
    </row>
    <row r="180" spans="1:5" x14ac:dyDescent="0.25">
      <c r="A180" t="s">
        <v>561</v>
      </c>
      <c r="B180" s="2" t="str">
        <f>_xlfn.XLOOKUP(A180,MAIN!A:A,MAIN!B:B)</f>
        <v>MEM</v>
      </c>
      <c r="C180" s="15">
        <v>5</v>
      </c>
      <c r="E180" s="43">
        <v>44567</v>
      </c>
    </row>
    <row r="181" spans="1:5" x14ac:dyDescent="0.25">
      <c r="A181" t="s">
        <v>374</v>
      </c>
      <c r="B181" s="2" t="str">
        <f>_xlfn.XLOOKUP(A181,MAIN!A:A,MAIN!B:B)</f>
        <v>CON</v>
      </c>
      <c r="C181" s="15">
        <v>4</v>
      </c>
      <c r="E181" s="43">
        <v>44588</v>
      </c>
    </row>
    <row r="182" spans="1:5" x14ac:dyDescent="0.25">
      <c r="A182" t="s">
        <v>185</v>
      </c>
      <c r="B182" s="2" t="str">
        <f>_xlfn.XLOOKUP(A182,MAIN!A:A,MAIN!B:B)</f>
        <v>CON</v>
      </c>
      <c r="C182" s="15">
        <v>2</v>
      </c>
      <c r="E182" s="43">
        <v>44588</v>
      </c>
    </row>
    <row r="183" spans="1:5" x14ac:dyDescent="0.25">
      <c r="A183" t="s">
        <v>576</v>
      </c>
      <c r="B183" s="2" t="str">
        <f>_xlfn.XLOOKUP(A183,MAIN!A:A,MAIN!B:B)</f>
        <v>C</v>
      </c>
      <c r="C183" s="15">
        <v>2</v>
      </c>
    </row>
    <row r="184" spans="1:5" x14ac:dyDescent="0.25">
      <c r="A184" t="s">
        <v>578</v>
      </c>
      <c r="B184" s="2" t="str">
        <f>_xlfn.XLOOKUP(A184,MAIN!A:A,MAIN!B:B)</f>
        <v>C</v>
      </c>
      <c r="C184" s="15">
        <v>1</v>
      </c>
    </row>
    <row r="185" spans="1:5" x14ac:dyDescent="0.25">
      <c r="A185" t="s">
        <v>231</v>
      </c>
      <c r="B185" s="2" t="str">
        <f>IF(ISNA(_xlfn.XMATCH(A185,PURCHASE!$A:$A)),"先入料",_xlfn.XLOOKUP(A185,PURCHASE!A:A,PURCHASE!B:B))</f>
        <v>OP</v>
      </c>
      <c r="C185" s="15">
        <v>1</v>
      </c>
    </row>
    <row r="186" spans="1:5" x14ac:dyDescent="0.25">
      <c r="A186" t="s">
        <v>185</v>
      </c>
      <c r="B186" s="2" t="str">
        <f>IF(ISNA(_xlfn.XMATCH(A186,PURCHASE!$A:$A)),"先入料",_xlfn.XLOOKUP(A186,PURCHASE!A:A,PURCHASE!B:B))</f>
        <v>CON</v>
      </c>
      <c r="C186" s="15">
        <v>3</v>
      </c>
      <c r="E186" s="44">
        <v>44608</v>
      </c>
    </row>
    <row r="187" spans="1:5" x14ac:dyDescent="0.25">
      <c r="A187" t="s">
        <v>231</v>
      </c>
      <c r="B187" s="2" t="str">
        <f>IF(ISNA(_xlfn.XMATCH(A187,PURCHASE!$A:$A)),"先入料",_xlfn.XLOOKUP(A187,PURCHASE!A:A,PURCHASE!B:B))</f>
        <v>OP</v>
      </c>
      <c r="C187" s="15">
        <v>2</v>
      </c>
    </row>
    <row r="188" spans="1:5" x14ac:dyDescent="0.25">
      <c r="A188" t="s">
        <v>470</v>
      </c>
      <c r="B188" s="2" t="str">
        <f>IF(ISNA(_xlfn.XMATCH(A188,PURCHASE!$A:$A)),"先入料",_xlfn.XLOOKUP(A188,PURCHASE!A:A,PURCHASE!B:B))</f>
        <v>OP</v>
      </c>
      <c r="C188" s="15">
        <v>1</v>
      </c>
    </row>
    <row r="189" spans="1:5" x14ac:dyDescent="0.25">
      <c r="A189" t="s">
        <v>144</v>
      </c>
      <c r="B189" s="2" t="str">
        <f>IF(ISNA(_xlfn.XMATCH(A189,PURCHASE!$A:$A)),"先入料",_xlfn.XLOOKUP(A189,PURCHASE!A:A,PURCHASE!B:B))</f>
        <v>SER</v>
      </c>
      <c r="C189" s="15">
        <v>1</v>
      </c>
      <c r="E189" s="45">
        <v>44623</v>
      </c>
    </row>
    <row r="190" spans="1:5" x14ac:dyDescent="0.25">
      <c r="A190" t="s">
        <v>228</v>
      </c>
      <c r="B190" s="2" t="str">
        <f>IF(ISNA(_xlfn.XMATCH(A190,PURCHASE!$A:$A)),"先入料",_xlfn.XLOOKUP(A190,PURCHASE!A:A,PURCHASE!B:B))</f>
        <v>OP</v>
      </c>
      <c r="C190" s="15">
        <v>1</v>
      </c>
      <c r="E190" s="45">
        <v>44623</v>
      </c>
    </row>
    <row r="191" spans="1:5" x14ac:dyDescent="0.25">
      <c r="A191" t="s">
        <v>590</v>
      </c>
      <c r="B191" s="2" t="str">
        <f>IF(ISNA(_xlfn.XMATCH(A191,PURCHASE!$A:$A)),"先入料",_xlfn.XLOOKUP(A191,PURCHASE!A:A,PURCHASE!B:B))</f>
        <v>XTAL</v>
      </c>
      <c r="C191" s="15">
        <v>5</v>
      </c>
      <c r="D191" s="15" t="s">
        <v>589</v>
      </c>
      <c r="E191" s="47">
        <v>44566</v>
      </c>
    </row>
    <row r="192" spans="1:5" x14ac:dyDescent="0.25">
      <c r="A192" t="s">
        <v>129</v>
      </c>
      <c r="B192" s="2" t="str">
        <f>IF(ISNA(_xlfn.XMATCH(A192,PURCHASE!$A:$A)),"先入料",_xlfn.XLOOKUP(A192,PURCHASE!A:A,PURCHASE!B:B))</f>
        <v>LED</v>
      </c>
      <c r="C192" s="15">
        <v>2</v>
      </c>
      <c r="D192" s="15" t="s">
        <v>29</v>
      </c>
      <c r="E192" s="48">
        <v>44658</v>
      </c>
    </row>
    <row r="193" spans="1:9" x14ac:dyDescent="0.25">
      <c r="A193" t="s">
        <v>108</v>
      </c>
      <c r="B193" s="2" t="str">
        <f>IF(ISNA(_xlfn.XMATCH(A193,PURCHASE!$A:$A)),"先入料",_xlfn.XLOOKUP(A193,PURCHASE!A:A,PURCHASE!B:B))</f>
        <v>MUX</v>
      </c>
      <c r="C193" s="15">
        <v>1</v>
      </c>
      <c r="D193" s="15" t="s">
        <v>29</v>
      </c>
      <c r="E193" s="48">
        <v>44658</v>
      </c>
    </row>
    <row r="194" spans="1:9" x14ac:dyDescent="0.25">
      <c r="A194" t="s">
        <v>113</v>
      </c>
      <c r="B194" s="2" t="str">
        <f>IF(ISNA(_xlfn.XMATCH(A194,PURCHASE!$A:$A)),"先入料",_xlfn.XLOOKUP(A194,PURCHASE!A:A,PURCHASE!B:B))</f>
        <v>C</v>
      </c>
      <c r="C194" s="15">
        <v>2</v>
      </c>
    </row>
    <row r="195" spans="1:9" x14ac:dyDescent="0.25">
      <c r="A195" t="s">
        <v>159</v>
      </c>
      <c r="B195" s="2" t="str">
        <f>IF(ISNA(_xlfn.XMATCH(A195,PURCHASE!$A:$A)),"先入料",_xlfn.XLOOKUP(A195,PURCHASE!A:A,PURCHASE!B:B))</f>
        <v>SER</v>
      </c>
      <c r="C195" s="15">
        <v>1</v>
      </c>
    </row>
    <row r="196" spans="1:9" x14ac:dyDescent="0.25">
      <c r="A196" t="s">
        <v>646</v>
      </c>
      <c r="B196" s="2" t="str">
        <f>IF(ISNA(_xlfn.XMATCH(A196,PURCHASE!$A:$A)),"先入料",_xlfn.XLOOKUP(A196,PURCHASE!A:A,PURCHASE!B:B))</f>
        <v>C</v>
      </c>
      <c r="C196" s="15">
        <v>8</v>
      </c>
      <c r="D196" s="15" t="s">
        <v>621</v>
      </c>
      <c r="E196" s="49">
        <v>44669</v>
      </c>
      <c r="F196">
        <f>_xlfn.XLOOKUP(A196,MAIN!A:A,MAIN!C:C)</f>
        <v>2</v>
      </c>
    </row>
    <row r="197" spans="1:9" x14ac:dyDescent="0.25">
      <c r="A197" t="s">
        <v>616</v>
      </c>
      <c r="B197" s="2" t="str">
        <f>IF(ISNA(_xlfn.XMATCH(A197,PURCHASE!$A:$A)),"先入料",_xlfn.XLOOKUP(A197,PURCHASE!A:A,PURCHASE!B:B))</f>
        <v>POW</v>
      </c>
      <c r="C197" s="15">
        <v>5</v>
      </c>
      <c r="D197" s="15" t="s">
        <v>621</v>
      </c>
      <c r="E197" s="49">
        <v>44669</v>
      </c>
      <c r="F197">
        <f>_xlfn.XLOOKUP(A197,MAIN!A:A,MAIN!C:C)</f>
        <v>0</v>
      </c>
      <c r="H197" s="2"/>
      <c r="I197" s="2"/>
    </row>
    <row r="198" spans="1:9" x14ac:dyDescent="0.25">
      <c r="A198" t="s">
        <v>618</v>
      </c>
      <c r="B198" s="2" t="str">
        <f>IF(ISNA(_xlfn.XMATCH(A198,PURCHASE!$A:$A)),"先入料",_xlfn.XLOOKUP(A198,PURCHASE!A:A,PURCHASE!B:B))</f>
        <v>POW</v>
      </c>
      <c r="C198" s="15">
        <v>6</v>
      </c>
      <c r="D198" s="15" t="s">
        <v>621</v>
      </c>
      <c r="E198" s="49">
        <v>44669</v>
      </c>
      <c r="F198">
        <f>_xlfn.XLOOKUP(A198,MAIN!A:A,MAIN!C:C)</f>
        <v>4</v>
      </c>
      <c r="H198" s="2"/>
      <c r="I198" s="2"/>
    </row>
    <row r="199" spans="1:9" x14ac:dyDescent="0.25">
      <c r="A199" t="s">
        <v>267</v>
      </c>
      <c r="B199" s="2" t="str">
        <f>IF(ISNA(_xlfn.XMATCH(A199,PURCHASE!$A:$A)),"先入料",_xlfn.XLOOKUP(A199,PURCHASE!A:A,PURCHASE!B:B))</f>
        <v>MOS</v>
      </c>
      <c r="C199" s="15">
        <v>3</v>
      </c>
      <c r="D199" s="15" t="s">
        <v>621</v>
      </c>
      <c r="E199" s="49">
        <v>44669</v>
      </c>
      <c r="F199">
        <f>_xlfn.XLOOKUP(A199,MAIN!A:A,MAIN!C:C)</f>
        <v>82</v>
      </c>
    </row>
    <row r="200" spans="1:9" x14ac:dyDescent="0.25">
      <c r="A200" t="s">
        <v>54</v>
      </c>
      <c r="B200" s="2" t="str">
        <f>IF(ISNA(_xlfn.XMATCH(A200,PURCHASE!$A:$A)),"先入料",_xlfn.XLOOKUP(A200,PURCHASE!A:A,PURCHASE!B:B))</f>
        <v>LDO</v>
      </c>
      <c r="C200" s="15">
        <v>3</v>
      </c>
      <c r="D200" s="15" t="s">
        <v>621</v>
      </c>
      <c r="E200" s="49">
        <v>44669</v>
      </c>
      <c r="F200">
        <f>_xlfn.XLOOKUP(A200,MAIN!A:A,MAIN!C:C)</f>
        <v>15</v>
      </c>
    </row>
    <row r="201" spans="1:9" x14ac:dyDescent="0.25">
      <c r="A201" t="s">
        <v>228</v>
      </c>
      <c r="B201" s="2" t="str">
        <f>IF(ISNA(_xlfn.XMATCH(A201,PURCHASE!$A:$A)),"先入料",_xlfn.XLOOKUP(A201,PURCHASE!A:A,PURCHASE!B:B))</f>
        <v>OP</v>
      </c>
      <c r="C201" s="15">
        <v>3</v>
      </c>
      <c r="D201" s="15" t="s">
        <v>621</v>
      </c>
      <c r="E201" s="49">
        <v>44669</v>
      </c>
      <c r="F201">
        <f>_xlfn.XLOOKUP(A201,MAIN!A:A,MAIN!C:C)</f>
        <v>159</v>
      </c>
    </row>
    <row r="202" spans="1:9" x14ac:dyDescent="0.25">
      <c r="A202" t="s">
        <v>108</v>
      </c>
      <c r="B202" s="2" t="str">
        <f>IF(ISNA(_xlfn.XMATCH(A202,PURCHASE!$A:$A)),"先入料",_xlfn.XLOOKUP(A202,PURCHASE!A:A,PURCHASE!B:B))</f>
        <v>MUX</v>
      </c>
      <c r="C202" s="15">
        <v>3</v>
      </c>
      <c r="D202" s="15" t="s">
        <v>621</v>
      </c>
      <c r="E202" s="49">
        <v>44669</v>
      </c>
      <c r="F202">
        <f>_xlfn.XLOOKUP(A202,MAIN!A:A,MAIN!C:C)</f>
        <v>3</v>
      </c>
    </row>
    <row r="203" spans="1:9" x14ac:dyDescent="0.25">
      <c r="A203" t="s">
        <v>614</v>
      </c>
      <c r="B203" s="2" t="str">
        <f>IF(ISNA(_xlfn.XMATCH(A203,PURCHASE!$A:$A)),"先入料",_xlfn.XLOOKUP(A203,PURCHASE!A:A,PURCHASE!B:B))</f>
        <v>SER</v>
      </c>
      <c r="C203" s="15">
        <v>3</v>
      </c>
      <c r="D203" s="15" t="s">
        <v>621</v>
      </c>
      <c r="E203" s="49">
        <v>44669</v>
      </c>
      <c r="F203">
        <f>_xlfn.XLOOKUP(A203,MAIN!A:A,MAIN!C:C)</f>
        <v>2</v>
      </c>
    </row>
    <row r="204" spans="1:9" x14ac:dyDescent="0.25">
      <c r="A204" t="s">
        <v>612</v>
      </c>
      <c r="B204" s="2" t="str">
        <f>IF(ISNA(_xlfn.XMATCH(A204,PURCHASE!$A:$A)),"先入料",_xlfn.XLOOKUP(A204,PURCHASE!A:A,PURCHASE!B:B))</f>
        <v>SER</v>
      </c>
      <c r="C204" s="15">
        <v>3</v>
      </c>
      <c r="D204" s="15" t="s">
        <v>621</v>
      </c>
      <c r="E204" s="49">
        <v>44669</v>
      </c>
      <c r="F204">
        <f>_xlfn.XLOOKUP(A204,MAIN!A:A,MAIN!C:C)</f>
        <v>7</v>
      </c>
    </row>
    <row r="205" spans="1:9" x14ac:dyDescent="0.25">
      <c r="A205" t="s">
        <v>664</v>
      </c>
      <c r="B205" s="2" t="str">
        <f>IF(ISNA(_xlfn.XMATCH(A205,PURCHASE!$A:$A)),"先入料",_xlfn.XLOOKUP(A205,PURCHASE!A:A,PURCHASE!B:B))</f>
        <v>SER</v>
      </c>
      <c r="C205" s="15">
        <v>6</v>
      </c>
      <c r="D205" s="15" t="s">
        <v>621</v>
      </c>
      <c r="E205" s="49">
        <v>44669</v>
      </c>
      <c r="F205">
        <f>_xlfn.XLOOKUP(A205,MAIN!A:A,MAIN!C:C)</f>
        <v>9</v>
      </c>
    </row>
    <row r="206" spans="1:9" x14ac:dyDescent="0.25">
      <c r="A206" t="s">
        <v>610</v>
      </c>
      <c r="B206" s="2" t="str">
        <f>IF(ISNA(_xlfn.XMATCH(A206,PURCHASE!$A:$A)),"先入料",_xlfn.XLOOKUP(A206,PURCHASE!A:A,PURCHASE!B:B))</f>
        <v>SER</v>
      </c>
      <c r="C206" s="15">
        <v>6</v>
      </c>
      <c r="D206" s="15" t="s">
        <v>621</v>
      </c>
      <c r="E206" s="49">
        <v>44669</v>
      </c>
      <c r="F206">
        <f>_xlfn.XLOOKUP(A206,MAIN!A:A,MAIN!C:C)</f>
        <v>8</v>
      </c>
    </row>
    <row r="207" spans="1:9" x14ac:dyDescent="0.25">
      <c r="A207" t="s">
        <v>639</v>
      </c>
      <c r="B207" s="2" t="str">
        <f>IF(ISNA(_xlfn.XMATCH(A207,PURCHASE!$A:$A)),"先入料",_xlfn.XLOOKUP(A207,PURCHASE!A:A,PURCHASE!B:B))</f>
        <v>L</v>
      </c>
      <c r="C207" s="15">
        <v>3</v>
      </c>
      <c r="D207" s="15" t="s">
        <v>621</v>
      </c>
      <c r="E207" s="49">
        <v>44669</v>
      </c>
      <c r="F207">
        <f>_xlfn.XLOOKUP(A207,MAIN!A:A,MAIN!C:C)</f>
        <v>7</v>
      </c>
    </row>
    <row r="208" spans="1:9" x14ac:dyDescent="0.25">
      <c r="A208" t="s">
        <v>637</v>
      </c>
      <c r="B208" s="2" t="str">
        <f>IF(ISNA(_xlfn.XMATCH(A208,PURCHASE!$A:$A)),"先入料",_xlfn.XLOOKUP(A208,PURCHASE!A:A,PURCHASE!B:B))</f>
        <v>L</v>
      </c>
      <c r="C208" s="15">
        <v>3</v>
      </c>
      <c r="D208" s="15" t="s">
        <v>621</v>
      </c>
      <c r="E208" s="49">
        <v>44669</v>
      </c>
      <c r="F208">
        <f>_xlfn.XLOOKUP(A208,MAIN!A:A,MAIN!C:C)</f>
        <v>7</v>
      </c>
    </row>
    <row r="209" spans="1:6" x14ac:dyDescent="0.25">
      <c r="A209" t="s">
        <v>129</v>
      </c>
      <c r="B209" s="2" t="str">
        <f>IF(ISNA(_xlfn.XMATCH(A209,PURCHASE!$A:$A)),"先入料",_xlfn.XLOOKUP(A209,PURCHASE!A:A,PURCHASE!B:B))</f>
        <v>LED</v>
      </c>
      <c r="C209" s="15">
        <v>9</v>
      </c>
      <c r="D209" s="15" t="s">
        <v>621</v>
      </c>
      <c r="E209" s="49">
        <v>44669</v>
      </c>
      <c r="F209">
        <f>_xlfn.XLOOKUP(A209,MAIN!A:A,MAIN!C:C)</f>
        <v>8</v>
      </c>
    </row>
    <row r="210" spans="1:6" x14ac:dyDescent="0.25">
      <c r="A210" t="s">
        <v>113</v>
      </c>
      <c r="B210" s="2" t="str">
        <f>IF(ISNA(_xlfn.XMATCH(A210,PURCHASE!$A:$A)),"先入料",_xlfn.XLOOKUP(A210,PURCHASE!A:A,PURCHASE!B:B))</f>
        <v>C</v>
      </c>
      <c r="C210" s="15">
        <v>10</v>
      </c>
      <c r="D210" s="15" t="s">
        <v>621</v>
      </c>
      <c r="E210" s="50">
        <v>44686</v>
      </c>
      <c r="F210">
        <f>_xlfn.XLOOKUP(A210,MAIN!A:A,MAIN!C:C)</f>
        <v>0</v>
      </c>
    </row>
    <row r="211" spans="1:6" x14ac:dyDescent="0.25">
      <c r="A211" t="s">
        <v>676</v>
      </c>
      <c r="B211" s="2" t="str">
        <f>IF(ISNA(_xlfn.XMATCH(A211,PURCHASE!$A:$A)),"先入料",_xlfn.XLOOKUP(A211,PURCHASE!A:A,PURCHASE!B:B))</f>
        <v>CON</v>
      </c>
      <c r="C211" s="15">
        <v>5</v>
      </c>
      <c r="D211" s="15" t="s">
        <v>621</v>
      </c>
      <c r="E211" s="51">
        <v>44686</v>
      </c>
      <c r="F211">
        <f>_xlfn.XLOOKUP(A211,MAIN!A:A,MAIN!C:C)</f>
        <v>16</v>
      </c>
    </row>
    <row r="212" spans="1:6" x14ac:dyDescent="0.25">
      <c r="A212" t="s">
        <v>83</v>
      </c>
      <c r="B212" s="2" t="str">
        <f>IF(ISNA(_xlfn.XMATCH(A212,PURCHASE!$A:$A)),"先入料",_xlfn.XLOOKUP(A212,PURCHASE!A:A,PURCHASE!B:B))</f>
        <v>LDO</v>
      </c>
      <c r="C212" s="15">
        <v>3</v>
      </c>
      <c r="D212" s="15" t="s">
        <v>708</v>
      </c>
      <c r="E212" s="52">
        <v>44690</v>
      </c>
      <c r="F212">
        <f>_xlfn.XLOOKUP(A212,MAIN!A:A,MAIN!C:C)</f>
        <v>9</v>
      </c>
    </row>
    <row r="213" spans="1:6" x14ac:dyDescent="0.25">
      <c r="A213" t="s">
        <v>211</v>
      </c>
      <c r="B213" s="2" t="str">
        <f>IF(ISNA(_xlfn.XMATCH(A213,PURCHASE!$A:$A)),"先入料",_xlfn.XLOOKUP(A213,PURCHASE!A:A,PURCHASE!B:B))</f>
        <v>C</v>
      </c>
      <c r="C213" s="15">
        <v>1</v>
      </c>
      <c r="D213" s="15" t="s">
        <v>621</v>
      </c>
      <c r="E213" s="52">
        <v>44690</v>
      </c>
      <c r="F213">
        <f>_xlfn.XLOOKUP(A213,MAIN!A:A,MAIN!C:C)</f>
        <v>48</v>
      </c>
    </row>
    <row r="214" spans="1:6" x14ac:dyDescent="0.25">
      <c r="A214" t="s">
        <v>80</v>
      </c>
      <c r="B214" s="2" t="str">
        <f>IF(ISNA(_xlfn.XMATCH(A214,PURCHASE!$A:$A)),"先入料",_xlfn.XLOOKUP(A214,PURCHASE!A:A,PURCHASE!B:B))</f>
        <v>C</v>
      </c>
      <c r="C214" s="15">
        <v>2</v>
      </c>
      <c r="D214" s="15" t="s">
        <v>621</v>
      </c>
      <c r="E214" s="52">
        <v>44690</v>
      </c>
      <c r="F214">
        <f>_xlfn.XLOOKUP(A214,MAIN!A:A,MAIN!C:C)</f>
        <v>30</v>
      </c>
    </row>
    <row r="215" spans="1:6" x14ac:dyDescent="0.25">
      <c r="A215" t="s">
        <v>214</v>
      </c>
      <c r="B215" s="2" t="str">
        <f>IF(ISNA(_xlfn.XMATCH(A215,PURCHASE!$A:$A)),"先入料",_xlfn.XLOOKUP(A215,PURCHASE!A:A,PURCHASE!B:B))</f>
        <v>C</v>
      </c>
      <c r="C215" s="15">
        <v>10</v>
      </c>
      <c r="D215" s="15" t="s">
        <v>709</v>
      </c>
      <c r="E215" s="52">
        <v>44692</v>
      </c>
      <c r="F215">
        <f>_xlfn.XLOOKUP(A215,MAIN!A:A,MAIN!C:C)</f>
        <v>3</v>
      </c>
    </row>
    <row r="216" spans="1:6" x14ac:dyDescent="0.25">
      <c r="A216" t="s">
        <v>184</v>
      </c>
      <c r="B216" s="2" t="str">
        <f>IF(ISNA(_xlfn.XMATCH(A216,PURCHASE!$A:$A)),"先入料",_xlfn.XLOOKUP(A216,PURCHASE!A:A,PURCHASE!B:B))</f>
        <v>CON</v>
      </c>
      <c r="C216" s="15">
        <v>30</v>
      </c>
      <c r="D216" s="15" t="s">
        <v>709</v>
      </c>
      <c r="E216" s="53">
        <v>44693</v>
      </c>
    </row>
    <row r="217" spans="1:6" x14ac:dyDescent="0.25">
      <c r="A217" t="s">
        <v>185</v>
      </c>
      <c r="B217" s="2" t="str">
        <f>IF(ISNA(_xlfn.XMATCH(A217,PURCHASE!$A:$A)),"先入料",_xlfn.XLOOKUP(A217,PURCHASE!A:A,PURCHASE!B:B))</f>
        <v>CON</v>
      </c>
      <c r="C217" s="15">
        <v>30</v>
      </c>
      <c r="D217" s="15" t="s">
        <v>709</v>
      </c>
      <c r="E217" s="53">
        <v>44694</v>
      </c>
    </row>
    <row r="218" spans="1:6" x14ac:dyDescent="0.25">
      <c r="A218" t="s">
        <v>390</v>
      </c>
      <c r="B218" s="2" t="str">
        <f>IF(ISNA(_xlfn.XMATCH(A218,PURCHASE!$A:$A)),"先入料",_xlfn.XLOOKUP(A218,PURCHASE!A:A,PURCHASE!B:B))</f>
        <v>MEM</v>
      </c>
      <c r="C218" s="15">
        <v>10</v>
      </c>
      <c r="D218" s="15" t="s">
        <v>709</v>
      </c>
      <c r="E218" s="53">
        <v>44695</v>
      </c>
    </row>
    <row r="219" spans="1:6" x14ac:dyDescent="0.25">
      <c r="A219" t="s">
        <v>169</v>
      </c>
      <c r="B219" s="2" t="str">
        <f>IF(ISNA(_xlfn.XMATCH(A219,PURCHASE!$A:$A)),"先入料",_xlfn.XLOOKUP(A219,PURCHASE!A:A,PURCHASE!B:B))</f>
        <v>ADC</v>
      </c>
      <c r="C219" s="15">
        <v>10</v>
      </c>
      <c r="D219" s="15" t="s">
        <v>709</v>
      </c>
      <c r="E219" s="53">
        <v>44696</v>
      </c>
    </row>
    <row r="220" spans="1:6" x14ac:dyDescent="0.25">
      <c r="A220" t="s">
        <v>610</v>
      </c>
      <c r="B220" s="2" t="str">
        <f>IF(ISNA(_xlfn.XMATCH(A220,PURCHASE!$A:$A)),"先入料",_xlfn.XLOOKUP(A220,PURCHASE!A:A,PURCHASE!B:B))</f>
        <v>SER</v>
      </c>
      <c r="C220" s="15">
        <v>10</v>
      </c>
      <c r="D220" s="15" t="s">
        <v>709</v>
      </c>
      <c r="E220" s="53">
        <v>44697</v>
      </c>
    </row>
    <row r="221" spans="1:6" x14ac:dyDescent="0.25">
      <c r="A221" t="s">
        <v>612</v>
      </c>
      <c r="B221" s="2" t="str">
        <f>IF(ISNA(_xlfn.XMATCH(A221,PURCHASE!$A:$A)),"先入料",_xlfn.XLOOKUP(A221,PURCHASE!A:A,PURCHASE!B:B))</f>
        <v>SER</v>
      </c>
      <c r="C221" s="15">
        <v>20</v>
      </c>
      <c r="D221" s="15" t="s">
        <v>709</v>
      </c>
      <c r="E221" s="53">
        <v>44698</v>
      </c>
    </row>
    <row r="222" spans="1:6" x14ac:dyDescent="0.25">
      <c r="A222" t="s">
        <v>374</v>
      </c>
      <c r="B222" s="2" t="str">
        <f>IF(ISNA(_xlfn.XMATCH(A222,PURCHASE!$A:$A)),"先入料",_xlfn.XLOOKUP(A222,PURCHASE!A:A,PURCHASE!B:B))</f>
        <v>CON</v>
      </c>
      <c r="C222" s="15">
        <v>10</v>
      </c>
      <c r="D222" s="15" t="s">
        <v>709</v>
      </c>
      <c r="E222" s="53">
        <v>44699</v>
      </c>
    </row>
    <row r="223" spans="1:6" x14ac:dyDescent="0.25">
      <c r="A223" t="s">
        <v>191</v>
      </c>
      <c r="B223" s="2" t="str">
        <f>IF(ISNA(_xlfn.XMATCH(A223,PURCHASE!$A:$A)),"先入料",_xlfn.XLOOKUP(A223,PURCHASE!A:A,PURCHASE!B:B))</f>
        <v>L</v>
      </c>
      <c r="C223" s="15">
        <v>95</v>
      </c>
      <c r="D223" s="15" t="s">
        <v>709</v>
      </c>
      <c r="E223" s="53">
        <v>44700</v>
      </c>
    </row>
    <row r="224" spans="1:6" x14ac:dyDescent="0.25">
      <c r="A224" t="s">
        <v>590</v>
      </c>
      <c r="B224" s="2" t="str">
        <f>IF(ISNA(_xlfn.XMATCH(A224,PURCHASE!$A:$A)),"先入料",_xlfn.XLOOKUP(A224,PURCHASE!A:A,PURCHASE!B:B))</f>
        <v>XTAL</v>
      </c>
      <c r="C224" s="15">
        <v>10</v>
      </c>
      <c r="D224" s="15" t="s">
        <v>709</v>
      </c>
      <c r="E224" s="53">
        <v>44701</v>
      </c>
    </row>
    <row r="225" spans="1:5" x14ac:dyDescent="0.25">
      <c r="A225" t="s">
        <v>170</v>
      </c>
      <c r="B225" s="2" t="str">
        <f>IF(ISNA(_xlfn.XMATCH(A225,PURCHASE!$A:$A)),"先入料",_xlfn.XLOOKUP(A225,PURCHASE!A:A,PURCHASE!B:B))</f>
        <v>DAC</v>
      </c>
      <c r="C225" s="15">
        <v>6</v>
      </c>
      <c r="D225" s="15" t="s">
        <v>709</v>
      </c>
      <c r="E225" s="53">
        <v>44702</v>
      </c>
    </row>
    <row r="226" spans="1:5" x14ac:dyDescent="0.25">
      <c r="A226" t="s">
        <v>311</v>
      </c>
      <c r="B226" s="2" t="str">
        <f>IF(ISNA(_xlfn.XMATCH(A226,PURCHASE!$A:$A)),"先入料",_xlfn.XLOOKUP(A226,PURCHASE!A:A,PURCHASE!B:B))</f>
        <v>C</v>
      </c>
      <c r="C226" s="15">
        <v>60</v>
      </c>
      <c r="D226" s="15" t="s">
        <v>709</v>
      </c>
      <c r="E226" s="53">
        <v>44703</v>
      </c>
    </row>
    <row r="227" spans="1:5" x14ac:dyDescent="0.25">
      <c r="A227" t="s">
        <v>286</v>
      </c>
      <c r="B227" s="2" t="str">
        <f>IF(ISNA(_xlfn.XMATCH(A227,PURCHASE!$A:$A)),"先入料",_xlfn.XLOOKUP(A227,PURCHASE!A:A,PURCHASE!B:B))</f>
        <v>D</v>
      </c>
      <c r="C227" s="15">
        <v>20</v>
      </c>
      <c r="D227" s="15" t="s">
        <v>709</v>
      </c>
      <c r="E227" s="53">
        <v>44704</v>
      </c>
    </row>
    <row r="228" spans="1:5" x14ac:dyDescent="0.25">
      <c r="A228" t="s">
        <v>275</v>
      </c>
      <c r="B228" s="2" t="str">
        <f>IF(ISNA(_xlfn.XMATCH(A228,PURCHASE!$A:$A)),"先入料",_xlfn.XLOOKUP(A228,PURCHASE!A:A,PURCHASE!B:B))</f>
        <v>LDO</v>
      </c>
      <c r="C228" s="15">
        <v>10</v>
      </c>
      <c r="D228" s="15" t="s">
        <v>709</v>
      </c>
      <c r="E228" s="53">
        <v>44705</v>
      </c>
    </row>
    <row r="229" spans="1:5" x14ac:dyDescent="0.25">
      <c r="A229" t="s">
        <v>383</v>
      </c>
      <c r="B229" s="2" t="str">
        <f>IF(ISNA(_xlfn.XMATCH(A229,PURCHASE!$A:$A)),"先入料",_xlfn.XLOOKUP(A229,PURCHASE!A:A,PURCHASE!B:B))</f>
        <v>LDO</v>
      </c>
      <c r="C229" s="15">
        <v>10</v>
      </c>
      <c r="D229" s="15" t="s">
        <v>709</v>
      </c>
      <c r="E229" s="53">
        <v>44706</v>
      </c>
    </row>
    <row r="230" spans="1:5" x14ac:dyDescent="0.25">
      <c r="A230" t="s">
        <v>437</v>
      </c>
      <c r="B230" s="2" t="str">
        <f>IF(ISNA(_xlfn.XMATCH(A230,PURCHASE!$A:$A)),"先入料",_xlfn.XLOOKUP(A230,PURCHASE!A:A,PURCHASE!B:B))</f>
        <v>LDO</v>
      </c>
      <c r="C230" s="15">
        <v>10</v>
      </c>
      <c r="D230" s="15" t="s">
        <v>709</v>
      </c>
      <c r="E230" s="53">
        <v>44707</v>
      </c>
    </row>
    <row r="231" spans="1:5" x14ac:dyDescent="0.25">
      <c r="A231" t="s">
        <v>442</v>
      </c>
      <c r="B231" s="2" t="str">
        <f>IF(ISNA(_xlfn.XMATCH(A231,PURCHASE!$A:$A)),"先入料",_xlfn.XLOOKUP(A231,PURCHASE!A:A,PURCHASE!B:B))</f>
        <v>LDO</v>
      </c>
      <c r="C231" s="15">
        <v>10</v>
      </c>
      <c r="D231" s="15" t="s">
        <v>709</v>
      </c>
      <c r="E231" s="53">
        <v>44708</v>
      </c>
    </row>
    <row r="232" spans="1:5" x14ac:dyDescent="0.25">
      <c r="A232" t="s">
        <v>308</v>
      </c>
      <c r="B232" s="2" t="str">
        <f>IF(ISNA(_xlfn.XMATCH(A232,PURCHASE!$A:$A)),"先入料",_xlfn.XLOOKUP(A232,PURCHASE!A:A,PURCHASE!B:B))</f>
        <v>LDO</v>
      </c>
      <c r="C232" s="15">
        <v>10</v>
      </c>
      <c r="D232" s="15" t="s">
        <v>709</v>
      </c>
      <c r="E232" s="53">
        <v>44709</v>
      </c>
    </row>
    <row r="233" spans="1:5" x14ac:dyDescent="0.25">
      <c r="A233" t="s">
        <v>158</v>
      </c>
      <c r="B233" s="2" t="str">
        <f>IF(ISNA(_xlfn.XMATCH(A233,PURCHASE!$A:$A)),"先入料",_xlfn.XLOOKUP(A233,PURCHASE!A:A,PURCHASE!B:B))</f>
        <v>SENSOR</v>
      </c>
      <c r="C233" s="15">
        <v>10</v>
      </c>
      <c r="D233" s="15" t="s">
        <v>709</v>
      </c>
      <c r="E233" s="53">
        <v>44710</v>
      </c>
    </row>
    <row r="234" spans="1:5" x14ac:dyDescent="0.25">
      <c r="A234" t="s">
        <v>267</v>
      </c>
      <c r="B234" s="2" t="str">
        <f>IF(ISNA(_xlfn.XMATCH(A234,PURCHASE!$A:$A)),"先入料",_xlfn.XLOOKUP(A234,PURCHASE!A:A,PURCHASE!B:B))</f>
        <v>MOS</v>
      </c>
      <c r="C234" s="15">
        <v>10</v>
      </c>
      <c r="D234" s="15" t="s">
        <v>709</v>
      </c>
      <c r="E234" s="53">
        <v>44711</v>
      </c>
    </row>
    <row r="235" spans="1:5" x14ac:dyDescent="0.25">
      <c r="A235" t="s">
        <v>94</v>
      </c>
      <c r="B235" s="2" t="str">
        <f>IF(ISNA(_xlfn.XMATCH(A235,PURCHASE!$A:$A)),"先入料",_xlfn.XLOOKUP(A235,PURCHASE!A:A,PURCHASE!B:B))</f>
        <v>CON</v>
      </c>
      <c r="C235" s="15">
        <v>2</v>
      </c>
    </row>
    <row r="236" spans="1:5" x14ac:dyDescent="0.25">
      <c r="A236" t="s">
        <v>96</v>
      </c>
      <c r="B236" s="2" t="str">
        <f>IF(ISNA(_xlfn.XMATCH(A236,PURCHASE!$A:$A)),"先入料",_xlfn.XLOOKUP(A236,PURCHASE!A:A,PURCHASE!B:B))</f>
        <v>CON</v>
      </c>
      <c r="C236" s="15">
        <v>2</v>
      </c>
    </row>
    <row r="237" spans="1:5" x14ac:dyDescent="0.25">
      <c r="A237" t="s">
        <v>695</v>
      </c>
      <c r="B237" s="2" t="str">
        <f>IF(ISNA(_xlfn.XMATCH(A237,PURCHASE!$A:$A)),"先入料",_xlfn.XLOOKUP(A237,PURCHASE!A:A,PURCHASE!B:B))</f>
        <v>R</v>
      </c>
      <c r="C237" s="15">
        <v>10</v>
      </c>
    </row>
    <row r="238" spans="1:5" x14ac:dyDescent="0.25">
      <c r="A238" t="s">
        <v>618</v>
      </c>
      <c r="B238" s="2" t="str">
        <f>IF(ISNA(_xlfn.XMATCH(A238,PURCHASE!$A:$A)),"先入料",_xlfn.XLOOKUP(A238,PURCHASE!A:A,PURCHASE!B:B))</f>
        <v>POW</v>
      </c>
      <c r="C238" s="15">
        <v>10</v>
      </c>
      <c r="D238" s="15" t="s">
        <v>710</v>
      </c>
    </row>
    <row r="239" spans="1:5" x14ac:dyDescent="0.25">
      <c r="A239" t="s">
        <v>699</v>
      </c>
      <c r="B239" s="2" t="str">
        <f>IF(ISNA(_xlfn.XMATCH(A239,PURCHASE!$A:$A)),"先入料",_xlfn.XLOOKUP(A239,PURCHASE!A:A,PURCHASE!B:B))</f>
        <v>MUX</v>
      </c>
      <c r="C239" s="15">
        <v>5</v>
      </c>
    </row>
    <row r="240" spans="1:5" x14ac:dyDescent="0.25">
      <c r="A240" t="s">
        <v>614</v>
      </c>
      <c r="B240" s="2" t="str">
        <f>IF(ISNA(_xlfn.XMATCH(A240,PURCHASE!$A:$A)),"先入料",_xlfn.XLOOKUP(A240,PURCHASE!A:A,PURCHASE!B:B))</f>
        <v>SER</v>
      </c>
      <c r="C240" s="15">
        <v>5</v>
      </c>
    </row>
    <row r="241" spans="1:3" x14ac:dyDescent="0.25">
      <c r="A241" t="s">
        <v>616</v>
      </c>
      <c r="B241" s="2" t="str">
        <f>IF(ISNA(_xlfn.XMATCH(A241,PURCHASE!$A:$A)),"先入料",_xlfn.XLOOKUP(A241,PURCHASE!A:A,PURCHASE!B:B))</f>
        <v>POW</v>
      </c>
      <c r="C241" s="15">
        <v>5</v>
      </c>
    </row>
    <row r="242" spans="1:3" x14ac:dyDescent="0.25">
      <c r="A242" t="s">
        <v>646</v>
      </c>
      <c r="B242" s="2" t="str">
        <f>IF(ISNA(_xlfn.XMATCH(A242,PURCHASE!$A:$A)),"先入料",_xlfn.XLOOKUP(A242,PURCHASE!A:A,PURCHASE!B:B))</f>
        <v>C</v>
      </c>
      <c r="C242" s="15">
        <v>10</v>
      </c>
    </row>
    <row r="243" spans="1:3" x14ac:dyDescent="0.25">
      <c r="A243" t="s">
        <v>129</v>
      </c>
      <c r="B243" s="2" t="str">
        <f>IF(ISNA(_xlfn.XMATCH(A243,PURCHASE!$A:$A)),"先入料",_xlfn.XLOOKUP(A243,PURCHASE!A:A,PURCHASE!B:B))</f>
        <v>LED</v>
      </c>
      <c r="C243" s="15">
        <v>65</v>
      </c>
    </row>
    <row r="244" spans="1:3" x14ac:dyDescent="0.25">
      <c r="A244" t="s">
        <v>267</v>
      </c>
      <c r="B244" s="2" t="str">
        <f>IF(ISNA(_xlfn.XMATCH(A244,PURCHASE!$A:$A)),"先入料",_xlfn.XLOOKUP(A244,PURCHASE!A:A,PURCHASE!B:B))</f>
        <v>MOS</v>
      </c>
      <c r="C244" s="15">
        <v>5</v>
      </c>
    </row>
    <row r="245" spans="1:3" x14ac:dyDescent="0.25">
      <c r="A245" t="s">
        <v>54</v>
      </c>
      <c r="B245" s="2" t="str">
        <f>IF(ISNA(_xlfn.XMATCH(A245,PURCHASE!$A:$A)),"先入料",_xlfn.XLOOKUP(A245,PURCHASE!A:A,PURCHASE!B:B))</f>
        <v>LDO</v>
      </c>
      <c r="C245" s="15">
        <v>7</v>
      </c>
    </row>
    <row r="246" spans="1:3" x14ac:dyDescent="0.25">
      <c r="A246" t="s">
        <v>612</v>
      </c>
      <c r="B246" s="2" t="str">
        <f>IF(ISNA(_xlfn.XMATCH(A246,PURCHASE!$A:$A)),"先入料",_xlfn.XLOOKUP(A246,PURCHASE!A:A,PURCHASE!B:B))</f>
        <v>SER</v>
      </c>
      <c r="C246" s="15">
        <v>5</v>
      </c>
    </row>
    <row r="247" spans="1:3" x14ac:dyDescent="0.25">
      <c r="A247" t="s">
        <v>664</v>
      </c>
      <c r="B247" s="2" t="str">
        <f>IF(ISNA(_xlfn.XMATCH(A247,PURCHASE!$A:$A)),"先入料",_xlfn.XLOOKUP(A247,PURCHASE!A:A,PURCHASE!B:B))</f>
        <v>SER</v>
      </c>
      <c r="C247" s="15">
        <v>10</v>
      </c>
    </row>
    <row r="248" spans="1:3" x14ac:dyDescent="0.25">
      <c r="A248" t="s">
        <v>228</v>
      </c>
      <c r="B248" s="2" t="str">
        <f>IF(ISNA(_xlfn.XMATCH(A248,PURCHASE!$A:$A)),"先入料",_xlfn.XLOOKUP(A248,PURCHASE!A:A,PURCHASE!B:B))</f>
        <v>OP</v>
      </c>
      <c r="C248" s="15">
        <v>5</v>
      </c>
    </row>
    <row r="249" spans="1:3" x14ac:dyDescent="0.25">
      <c r="A249" t="s">
        <v>610</v>
      </c>
      <c r="B249" s="2" t="str">
        <f>IF(ISNA(_xlfn.XMATCH(A249,PURCHASE!$A:$A)),"先入料",_xlfn.XLOOKUP(A249,PURCHASE!A:A,PURCHASE!B:B))</f>
        <v>SER</v>
      </c>
      <c r="C249" s="15">
        <v>10</v>
      </c>
    </row>
    <row r="250" spans="1:3" x14ac:dyDescent="0.25">
      <c r="A250" t="s">
        <v>639</v>
      </c>
      <c r="B250" s="2" t="str">
        <f>IF(ISNA(_xlfn.XMATCH(A250,PURCHASE!$A:$A)),"先入料",_xlfn.XLOOKUP(A250,PURCHASE!A:A,PURCHASE!B:B))</f>
        <v>L</v>
      </c>
      <c r="C250" s="15">
        <v>5</v>
      </c>
    </row>
    <row r="251" spans="1:3" x14ac:dyDescent="0.25">
      <c r="A251" t="s">
        <v>637</v>
      </c>
      <c r="B251" s="2" t="str">
        <f>IF(ISNA(_xlfn.XMATCH(A251,PURCHASE!$A:$A)),"先入料",_xlfn.XLOOKUP(A251,PURCHASE!A:A,PURCHASE!B:B))</f>
        <v>L</v>
      </c>
      <c r="C251" s="15">
        <v>5</v>
      </c>
    </row>
    <row r="252" spans="1:3" x14ac:dyDescent="0.25">
      <c r="A252" t="s">
        <v>706</v>
      </c>
      <c r="B252" s="2" t="str">
        <f>IF(ISNA(_xlfn.XMATCH(A252,PURCHASE!$A:$A)),"先入料",_xlfn.XLOOKUP(A252,PURCHASE!A:A,PURCHASE!B:B))</f>
        <v>PCB</v>
      </c>
      <c r="C252" s="15">
        <v>8</v>
      </c>
    </row>
    <row r="253" spans="1:3" x14ac:dyDescent="0.25">
      <c r="A253" t="s">
        <v>278</v>
      </c>
      <c r="B253" s="2" t="str">
        <f>IF(ISNA(_xlfn.XMATCH(A253,PURCHASE!$A:$A)),"先入料",_xlfn.XLOOKUP(A253,PURCHASE!A:A,PURCHASE!B:B))</f>
        <v>C</v>
      </c>
      <c r="C253" s="15">
        <v>16</v>
      </c>
    </row>
    <row r="254" spans="1:3" x14ac:dyDescent="0.25">
      <c r="A254" t="s">
        <v>94</v>
      </c>
      <c r="B254" s="2" t="str">
        <f>IF(ISNA(_xlfn.XMATCH(A254,PURCHASE!$A:$A)),"先入料",_xlfn.XLOOKUP(A254,PURCHASE!A:A,PURCHASE!B:B))</f>
        <v>CON</v>
      </c>
      <c r="C254" s="15">
        <v>5</v>
      </c>
    </row>
    <row r="255" spans="1:3" x14ac:dyDescent="0.25">
      <c r="A255" t="s">
        <v>96</v>
      </c>
      <c r="B255" s="2" t="str">
        <f>IF(ISNA(_xlfn.XMATCH(A255,PURCHASE!$A:$A)),"先入料",_xlfn.XLOOKUP(A255,PURCHASE!A:A,PURCHASE!B:B))</f>
        <v>CON</v>
      </c>
      <c r="C255" s="15">
        <v>4</v>
      </c>
    </row>
    <row r="256" spans="1:3" x14ac:dyDescent="0.25">
      <c r="A256" t="s">
        <v>676</v>
      </c>
      <c r="B256" s="2" t="str">
        <f>IF(ISNA(_xlfn.XMATCH(A256,PURCHASE!$A:$A)),"先入料",_xlfn.XLOOKUP(A256,PURCHASE!A:A,PURCHASE!B:B))</f>
        <v>CON</v>
      </c>
      <c r="C256" s="15">
        <v>9</v>
      </c>
    </row>
    <row r="257" spans="1:3" x14ac:dyDescent="0.25">
      <c r="A257" t="s">
        <v>114</v>
      </c>
      <c r="B257" s="2" t="str">
        <f>IF(ISNA(_xlfn.XMATCH(A257,PURCHASE!$A:$A)),"先入料",_xlfn.XLOOKUP(A257,PURCHASE!A:A,PURCHASE!B:B))</f>
        <v>EVB</v>
      </c>
      <c r="C257" s="15">
        <v>1</v>
      </c>
    </row>
    <row r="258" spans="1:3" x14ac:dyDescent="0.25">
      <c r="A258" t="s">
        <v>33</v>
      </c>
      <c r="B258" s="2" t="str">
        <f>IF(ISNA(_xlfn.XMATCH(A258,PURCHASE!$A:$A)),"先入料",_xlfn.XLOOKUP(A258,PURCHASE!A:A,PURCHASE!B:B))</f>
        <v>EVB</v>
      </c>
      <c r="C258" s="15">
        <v>1</v>
      </c>
    </row>
    <row r="259" spans="1:3" x14ac:dyDescent="0.25">
      <c r="A259" t="s">
        <v>610</v>
      </c>
      <c r="B259" s="2" t="str">
        <f>IF(ISNA(_xlfn.XMATCH(A259,PURCHASE!$A:$A)),"先入料",_xlfn.XLOOKUP(A259,PURCHASE!A:A,PURCHASE!B:B))</f>
        <v>SER</v>
      </c>
      <c r="C259" s="15">
        <v>1</v>
      </c>
    </row>
    <row r="260" spans="1:3" x14ac:dyDescent="0.25">
      <c r="A260" t="s">
        <v>114</v>
      </c>
      <c r="B260" s="2" t="str">
        <f>IF(ISNA(_xlfn.XMATCH(A260,PURCHASE!$A:$A)),"先入料",_xlfn.XLOOKUP(A260,PURCHASE!A:A,PURCHASE!B:B))</f>
        <v>EVB</v>
      </c>
      <c r="C260" s="15">
        <v>2</v>
      </c>
    </row>
    <row r="261" spans="1:3" x14ac:dyDescent="0.25">
      <c r="A261" t="s">
        <v>96</v>
      </c>
      <c r="B261" s="2" t="str">
        <f>IF(ISNA(_xlfn.XMATCH(A261,PURCHASE!$A:$A)),"先入料",_xlfn.XLOOKUP(A261,PURCHASE!A:A,PURCHASE!B:B))</f>
        <v>CON</v>
      </c>
      <c r="C261" s="15">
        <v>3</v>
      </c>
    </row>
    <row r="262" spans="1:3" x14ac:dyDescent="0.25">
      <c r="A262" t="s">
        <v>94</v>
      </c>
      <c r="B262" s="2" t="str">
        <f>IF(ISNA(_xlfn.XMATCH(A262,PURCHASE!$A:$A)),"先入料",_xlfn.XLOOKUP(A262,PURCHASE!A:A,PURCHASE!B:B))</f>
        <v>CON</v>
      </c>
      <c r="C262" s="15">
        <v>3</v>
      </c>
    </row>
    <row r="263" spans="1:3" x14ac:dyDescent="0.25">
      <c r="A263" t="s">
        <v>33</v>
      </c>
      <c r="B263" s="2" t="str">
        <f>IF(ISNA(_xlfn.XMATCH(A263,PURCHASE!$A:$A)),"先入料",_xlfn.XLOOKUP(A263,PURCHASE!A:A,PURCHASE!B:B))</f>
        <v>EVB</v>
      </c>
      <c r="C263" s="15">
        <v>1</v>
      </c>
    </row>
    <row r="264" spans="1:3" x14ac:dyDescent="0.25">
      <c r="B264" s="2">
        <f>IF(ISNA(_xlfn.XMATCH(A264,PURCHASE!$A:$A)),"先入料",_xlfn.XLOOKUP(A264,PURCHASE!A:A,PURCHASE!B:B))</f>
        <v>0</v>
      </c>
    </row>
    <row r="265" spans="1:3" x14ac:dyDescent="0.25">
      <c r="B265" s="2">
        <f>IF(ISNA(_xlfn.XMATCH(A265,PURCHASE!$A:$A)),"先入料",_xlfn.XLOOKUP(A265,PURCHASE!A:A,PURCHASE!B:B))</f>
        <v>0</v>
      </c>
    </row>
    <row r="266" spans="1:3" x14ac:dyDescent="0.25">
      <c r="B266" s="2">
        <f>IF(ISNA(_xlfn.XMATCH(A266,PURCHASE!$A:$A)),"先入料",_xlfn.XLOOKUP(A266,PURCHASE!A:A,PURCHASE!B:B))</f>
        <v>0</v>
      </c>
    </row>
    <row r="267" spans="1:3" x14ac:dyDescent="0.25">
      <c r="B267" s="2">
        <f>IF(ISNA(_xlfn.XMATCH(A267,PURCHASE!$A:$A)),"先入料",_xlfn.XLOOKUP(A267,PURCHASE!A:A,PURCHASE!B:B))</f>
        <v>0</v>
      </c>
    </row>
  </sheetData>
  <autoFilter ref="A1:F214" xr:uid="{534BE99D-E390-4557-A64F-8068A8D2B9E8}"/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2E660F-59DA-41D7-848E-1A507E7835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</vt:lpstr>
      <vt:lpstr>PURCHASE</vt:lpstr>
      <vt:lpstr>DEFINE</vt:lpstr>
      <vt:lpstr>BOM</vt:lpstr>
      <vt:lpstr>CONSUME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</dc:creator>
  <cp:lastModifiedBy>蕭博文</cp:lastModifiedBy>
  <dcterms:created xsi:type="dcterms:W3CDTF">2015-06-05T18:19:34Z</dcterms:created>
  <dcterms:modified xsi:type="dcterms:W3CDTF">2022-07-15T06:45:50Z</dcterms:modified>
</cp:coreProperties>
</file>